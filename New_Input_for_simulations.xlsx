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frigstadno-my.sharepoint.com/personal/inge_moy_frigstad_com/Documents/Frigstad Shared Folders/Frigstad - Stian Giæver/4. Frigstad Simulation Tool/"/>
    </mc:Choice>
  </mc:AlternateContent>
  <xr:revisionPtr revIDLastSave="71" documentId="8_{A01AA1B7-5DE6-4933-9DD4-E17FBBBF2B04}" xr6:coauthVersionLast="47" xr6:coauthVersionMax="47" xr10:uidLastSave="{31D038F7-E6BB-4C14-999A-57EA6C14C6CB}"/>
  <bookViews>
    <workbookView xWindow="-110" yWindow="-110" windowWidth="19420" windowHeight="11500" firstSheet="3" activeTab="3" xr2:uid="{F1D9F68C-69B2-4F3B-9E9B-B7C29027A64F}"/>
  </bookViews>
  <sheets>
    <sheet name="Read Me" sheetId="1" r:id="rId1"/>
    <sheet name="W90 MP" sheetId="5" r:id="rId2"/>
    <sheet name="W90 Jacket" sheetId="8" r:id="rId3"/>
    <sheet name="W90 WTG " sheetId="11" r:id="rId4"/>
    <sheet name="JUV MP" sheetId="6" r:id="rId5"/>
    <sheet name="JUV Jacket" sheetId="9" r:id="rId6"/>
    <sheet name="JUV WTG" sheetId="3" r:id="rId7"/>
    <sheet name="FIV MP" sheetId="7" r:id="rId8"/>
    <sheet name="FIV Jacket" sheetId="10" r:id="rId9"/>
    <sheet name="FIV WTG" sheetId="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1" l="1"/>
  <c r="P7" i="11"/>
  <c r="C12" i="11"/>
  <c r="G12" i="11" s="1"/>
  <c r="C11" i="11"/>
  <c r="G11" i="11" s="1"/>
  <c r="H11" i="11" s="1"/>
  <c r="C9" i="11"/>
  <c r="H4" i="11"/>
  <c r="H5" i="11"/>
  <c r="H6" i="11"/>
  <c r="H7" i="11"/>
  <c r="H9" i="11"/>
  <c r="H13" i="11"/>
  <c r="H14" i="11"/>
  <c r="H15" i="11"/>
  <c r="H16" i="11"/>
  <c r="H17" i="11"/>
  <c r="H18" i="11"/>
  <c r="H19" i="11"/>
  <c r="H20" i="11"/>
  <c r="H21" i="11"/>
  <c r="H22" i="11"/>
  <c r="H23" i="11"/>
  <c r="H3" i="11"/>
  <c r="G4" i="11"/>
  <c r="G5" i="11"/>
  <c r="G6" i="11"/>
  <c r="G7" i="11"/>
  <c r="G8" i="11"/>
  <c r="H8" i="11" s="1"/>
  <c r="G9" i="11"/>
  <c r="G10" i="11"/>
  <c r="H10" i="11" s="1"/>
  <c r="G13" i="11"/>
  <c r="G14" i="11"/>
  <c r="G15" i="11"/>
  <c r="G16" i="11"/>
  <c r="G17" i="11"/>
  <c r="G18" i="11"/>
  <c r="G19" i="11"/>
  <c r="G20" i="11"/>
  <c r="G21" i="11"/>
  <c r="G22" i="11"/>
  <c r="G23" i="11"/>
  <c r="G3" i="11"/>
  <c r="A13" i="11"/>
  <c r="A14" i="11"/>
  <c r="A15" i="11"/>
  <c r="A16" i="11"/>
  <c r="A17" i="11"/>
  <c r="A18" i="11"/>
  <c r="A19" i="11"/>
  <c r="A20" i="11"/>
  <c r="A21" i="11"/>
  <c r="A22" i="11"/>
  <c r="A23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H12" i="11" l="1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  <c r="F2" i="9"/>
  <c r="A4" i="8"/>
  <c r="A5" i="8"/>
  <c r="A6" i="8"/>
  <c r="A7" i="8"/>
  <c r="A8" i="8"/>
  <c r="A9" i="8"/>
  <c r="A3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F2" i="8"/>
  <c r="G9" i="10"/>
  <c r="H9" i="10"/>
  <c r="H2" i="10"/>
  <c r="G2" i="10"/>
  <c r="F2" i="10"/>
  <c r="G12" i="6"/>
  <c r="F12" i="6"/>
  <c r="H12" i="6" s="1"/>
  <c r="H11" i="6"/>
  <c r="F11" i="6"/>
  <c r="G11" i="6" s="1"/>
  <c r="F10" i="6"/>
  <c r="G10" i="6" s="1"/>
  <c r="F9" i="6"/>
  <c r="H9" i="6" s="1"/>
  <c r="F8" i="6"/>
  <c r="H8" i="6" s="1"/>
  <c r="H7" i="6"/>
  <c r="F7" i="6"/>
  <c r="G7" i="6" s="1"/>
  <c r="H6" i="6"/>
  <c r="G6" i="6"/>
  <c r="F6" i="6"/>
  <c r="F5" i="6"/>
  <c r="H5" i="6" s="1"/>
  <c r="F4" i="6"/>
  <c r="G4" i="6" s="1"/>
  <c r="H3" i="6"/>
  <c r="F3" i="6"/>
  <c r="G3" i="6" s="1"/>
  <c r="H2" i="6"/>
  <c r="G2" i="6"/>
  <c r="F2" i="6"/>
  <c r="F3" i="7"/>
  <c r="G3" i="7" s="1"/>
  <c r="H3" i="7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 s="1"/>
  <c r="F9" i="7"/>
  <c r="G9" i="7"/>
  <c r="H9" i="7"/>
  <c r="F10" i="7"/>
  <c r="G10" i="7"/>
  <c r="H10" i="7"/>
  <c r="F11" i="7"/>
  <c r="G11" i="7"/>
  <c r="H11" i="7"/>
  <c r="F12" i="7"/>
  <c r="G12" i="7"/>
  <c r="H12" i="7"/>
  <c r="F2" i="7"/>
  <c r="G2" i="7"/>
  <c r="H2" i="7"/>
  <c r="H6" i="5"/>
  <c r="H10" i="5"/>
  <c r="H11" i="5"/>
  <c r="H12" i="5"/>
  <c r="H2" i="5"/>
  <c r="G6" i="5"/>
  <c r="G10" i="5"/>
  <c r="G11" i="5"/>
  <c r="G12" i="5"/>
  <c r="G2" i="5"/>
  <c r="F3" i="5"/>
  <c r="G3" i="5" s="1"/>
  <c r="F4" i="5"/>
  <c r="G4" i="5" s="1"/>
  <c r="F5" i="5"/>
  <c r="G5" i="5" s="1"/>
  <c r="F6" i="5"/>
  <c r="F7" i="5"/>
  <c r="G7" i="5" s="1"/>
  <c r="F8" i="5"/>
  <c r="G8" i="5" s="1"/>
  <c r="F9" i="5"/>
  <c r="H9" i="5" s="1"/>
  <c r="F10" i="5"/>
  <c r="F11" i="5"/>
  <c r="F12" i="5"/>
  <c r="F2" i="5"/>
  <c r="H30" i="4"/>
  <c r="F30" i="4"/>
  <c r="H29" i="4"/>
  <c r="F29" i="4"/>
  <c r="H28" i="4"/>
  <c r="F28" i="4"/>
  <c r="H27" i="4"/>
  <c r="F27" i="4"/>
  <c r="H26" i="4"/>
  <c r="F26" i="4" s="1"/>
  <c r="H25" i="4"/>
  <c r="F25" i="4"/>
  <c r="H24" i="4"/>
  <c r="F24" i="4"/>
  <c r="H23" i="4"/>
  <c r="F23" i="4"/>
  <c r="H22" i="4"/>
  <c r="F22" i="4"/>
  <c r="H21" i="4"/>
  <c r="F21" i="4" s="1"/>
  <c r="H20" i="4"/>
  <c r="F20" i="4"/>
  <c r="H19" i="4"/>
  <c r="F19" i="4"/>
  <c r="H18" i="4"/>
  <c r="F18" i="4"/>
  <c r="H17" i="4"/>
  <c r="F17" i="4"/>
  <c r="H16" i="4"/>
  <c r="F16" i="4"/>
  <c r="H15" i="4"/>
  <c r="F15" i="4" s="1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H3" i="4"/>
  <c r="F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F2" i="4"/>
  <c r="H8" i="10" l="1"/>
  <c r="G8" i="10"/>
  <c r="H7" i="10"/>
  <c r="G7" i="10"/>
  <c r="G6" i="10"/>
  <c r="H6" i="10"/>
  <c r="H5" i="10"/>
  <c r="G5" i="10"/>
  <c r="H4" i="10"/>
  <c r="G4" i="10"/>
  <c r="H3" i="10"/>
  <c r="G3" i="10"/>
  <c r="G8" i="6"/>
  <c r="H4" i="6"/>
  <c r="G9" i="6"/>
  <c r="H10" i="6"/>
  <c r="G5" i="6"/>
  <c r="H8" i="7"/>
  <c r="H7" i="5"/>
  <c r="H5" i="5"/>
  <c r="H4" i="5"/>
  <c r="H8" i="5"/>
  <c r="H3" i="5"/>
  <c r="G9" i="5"/>
  <c r="H35" i="3" l="1"/>
  <c r="F35" i="3"/>
  <c r="H34" i="3"/>
  <c r="F34" i="3" s="1"/>
  <c r="H33" i="3"/>
  <c r="F33" i="3" s="1"/>
  <c r="H32" i="3"/>
  <c r="F32" i="3"/>
  <c r="H31" i="3"/>
  <c r="F31" i="3"/>
  <c r="H30" i="3"/>
  <c r="F30" i="3" s="1"/>
  <c r="H29" i="3"/>
  <c r="F29" i="3" s="1"/>
  <c r="H28" i="3"/>
  <c r="F28" i="3"/>
  <c r="H27" i="3"/>
  <c r="F27" i="3"/>
  <c r="H26" i="3"/>
  <c r="F26" i="3" s="1"/>
  <c r="H25" i="3"/>
  <c r="F25" i="3" s="1"/>
  <c r="H24" i="3"/>
  <c r="F24" i="3"/>
  <c r="H23" i="3"/>
  <c r="F23" i="3"/>
  <c r="H22" i="3"/>
  <c r="F22" i="3" s="1"/>
  <c r="H21" i="3"/>
  <c r="F21" i="3" s="1"/>
  <c r="H20" i="3"/>
  <c r="F20" i="3"/>
  <c r="H19" i="3"/>
  <c r="F19" i="3"/>
  <c r="H18" i="3"/>
  <c r="F18" i="3" s="1"/>
  <c r="H17" i="3"/>
  <c r="F17" i="3" s="1"/>
  <c r="H16" i="3"/>
  <c r="F16" i="3"/>
  <c r="H15" i="3"/>
  <c r="F15" i="3" s="1"/>
  <c r="H14" i="3"/>
  <c r="F14" i="3" s="1"/>
  <c r="H13" i="3"/>
  <c r="F13" i="3" s="1"/>
  <c r="H12" i="3"/>
  <c r="F12" i="3"/>
  <c r="H11" i="3"/>
  <c r="F11" i="3" s="1"/>
  <c r="H10" i="3"/>
  <c r="F10" i="3" s="1"/>
  <c r="H9" i="3"/>
  <c r="F9" i="3" s="1"/>
  <c r="H8" i="3"/>
  <c r="F8" i="3"/>
  <c r="H7" i="3"/>
  <c r="F7" i="3" s="1"/>
  <c r="H6" i="3"/>
  <c r="F6" i="3" s="1"/>
  <c r="H5" i="3"/>
  <c r="F5" i="3" s="1"/>
  <c r="H4" i="3"/>
  <c r="F4" i="3"/>
  <c r="H3" i="3"/>
  <c r="F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F2" i="3"/>
</calcChain>
</file>

<file path=xl/sharedStrings.xml><?xml version="1.0" encoding="utf-8"?>
<sst xmlns="http://schemas.openxmlformats.org/spreadsheetml/2006/main" count="401" uniqueCount="115">
  <si>
    <t>START</t>
  </si>
  <si>
    <t>END</t>
  </si>
  <si>
    <t>N</t>
  </si>
  <si>
    <t>Description - MP Piling (non drilling)</t>
  </si>
  <si>
    <t xml:space="preserve"> Seq Dur (hrs)</t>
  </si>
  <si>
    <t>Oplim Waves (m)</t>
  </si>
  <si>
    <t>Oplim Wind (m/s)</t>
  </si>
  <si>
    <t xml:space="preserve">Tc (hrs) % </t>
  </si>
  <si>
    <t>Tc (hrs)</t>
  </si>
  <si>
    <t>Tr (hrs)</t>
  </si>
  <si>
    <t>Transit</t>
  </si>
  <si>
    <t xml:space="preserve">Loading </t>
  </si>
  <si>
    <t>Installation</t>
  </si>
  <si>
    <t xml:space="preserve">Transit to sheltered area or Yard </t>
  </si>
  <si>
    <t>Given by distance</t>
  </si>
  <si>
    <t xml:space="preserve">Arrival and mooring </t>
  </si>
  <si>
    <t xml:space="preserve">FALSE </t>
  </si>
  <si>
    <t>Loading each Monopile</t>
  </si>
  <si>
    <t xml:space="preserve">Sea-fastening and departure </t>
  </si>
  <si>
    <t>Transit to Wind Farm</t>
  </si>
  <si>
    <t>Arrival Wind Farm, positioning and preperations</t>
  </si>
  <si>
    <t>Move MP from setback to Main Hook position</t>
  </si>
  <si>
    <t>Monopile is lowered to the seabed and positioned accurately.</t>
  </si>
  <si>
    <t>Monopile is driven into the seabed using a vibro-hammer (initial) and then a hydraulic impact hammer (main driving). (Ad 10 horus if drilling)</t>
  </si>
  <si>
    <t xml:space="preserve">Check and Verifications </t>
  </si>
  <si>
    <t>Move to next location</t>
  </si>
  <si>
    <t xml:space="preserve">Arrival Wind Farm, positioning with barge and preperations for lift. </t>
  </si>
  <si>
    <t>Jacket is upended (if required) and lifted from the transport barge to the installation position using main crane</t>
  </si>
  <si>
    <t>Jacket is carefully lowered to the seabed and positioned accurately using GPS and survey systems.</t>
  </si>
  <si>
    <t>Steel piles are driven through the jacket legs into the seabed using hydraulic hammers to secure the structure.</t>
  </si>
  <si>
    <t>Grout is injected to lock the piles and jacket legs together for structural integrity.</t>
  </si>
  <si>
    <t>Final checks and adjustments to ensure the jacket is level and in the correct position.</t>
  </si>
  <si>
    <t>Vessel repositions or prepares for the next jacket installation.</t>
  </si>
  <si>
    <t>Description</t>
  </si>
  <si>
    <t xml:space="preserve">Parallell  1 </t>
  </si>
  <si>
    <t xml:space="preserve">Parallell  2 </t>
  </si>
  <si>
    <t>Position W90 to engage loading</t>
  </si>
  <si>
    <t xml:space="preserve">Position Barges along side STB side. Conenct and secure to W90 </t>
  </si>
  <si>
    <t xml:space="preserve">Connect W90 SDC, lift main TT 1 onboard, secure in AP1 </t>
  </si>
  <si>
    <t>Lift main section 2, Bolt scrion 1 &amp; 2 together</t>
  </si>
  <si>
    <t>Expected '</t>
  </si>
  <si>
    <t>Lift and bolt section 3. Connect W90 SDC and lift TT main section 4 to W90 catwalk</t>
  </si>
  <si>
    <t>Bolt TT section 3 and 4 together in AP1 and seafasten in setback</t>
  </si>
  <si>
    <t xml:space="preserve">With max </t>
  </si>
  <si>
    <t xml:space="preserve">Position Barges along side PORT side. Conenct and secure to W90 </t>
  </si>
  <si>
    <t>PDC lift 8 lower TT sections onto W90 to skid landing area port side. Skid and seafasten all lower TT tubes in W90 deck storage area</t>
  </si>
  <si>
    <t>2 transport barges loaded with 8 nacelles. Move Nacelle barge  alongside W90 port side (2 tugs). Moore to W90.</t>
  </si>
  <si>
    <t>PDC lift 8 Nacelles onto W90 to skid landing area port side. Skid and seafasten all Nacelles in W90 deck storage area.</t>
  </si>
  <si>
    <t xml:space="preserve">4 Transport barges with 24 rotor blades (for 8WTG's) Ready in sheltered area. Offload from barges and store 24 rotor blades onboard W90 blade rack. </t>
  </si>
  <si>
    <t xml:space="preserve">Transit to project site </t>
  </si>
  <si>
    <t xml:space="preserve">NA </t>
  </si>
  <si>
    <t>Position W90 over foundation. Lift main TT up and transverse over top of lower TT</t>
  </si>
  <si>
    <t>Position and bolt up lower and main TT in MAP</t>
  </si>
  <si>
    <t>Move TT gripping tool to SAP</t>
  </si>
  <si>
    <t>Install Nacelle on turbine tower</t>
  </si>
  <si>
    <t>Install Balde 1</t>
  </si>
  <si>
    <t>Install Blade 2</t>
  </si>
  <si>
    <t>Install Blade 3</t>
  </si>
  <si>
    <t>Install full WTG on foundation</t>
  </si>
  <si>
    <t>Move W90 0.5NM to next location</t>
  </si>
  <si>
    <t xml:space="preserve">Transit to loading location </t>
  </si>
  <si>
    <t>NA</t>
  </si>
  <si>
    <t>Move MP from DECK to Main Hook position</t>
  </si>
  <si>
    <t xml:space="preserve">Arrival Wind Farm, positioning , pre load and jack up. Position barge. </t>
  </si>
  <si>
    <t>Vessel jack down and prepares for the next jacket installation location.</t>
  </si>
  <si>
    <t xml:space="preserve">Transit into port </t>
  </si>
  <si>
    <t xml:space="preserve">Transit </t>
  </si>
  <si>
    <t>port entry to load-out quay</t>
  </si>
  <si>
    <t>jack-up at port / quay</t>
  </si>
  <si>
    <t>preparatory works (e.g. gangway secured, backloading Owner, etc.)</t>
  </si>
  <si>
    <t>handover main crane from Owner to WTG OEM</t>
  </si>
  <si>
    <t>backloading WTG items incl. TP-cover</t>
  </si>
  <si>
    <t xml:space="preserve">Loading of WTG tower </t>
  </si>
  <si>
    <t xml:space="preserve">Loading of WTG nacelle </t>
  </si>
  <si>
    <t>Loading of blades for ( Time per blade x Number of turbines carried)</t>
  </si>
  <si>
    <t>Loading of auxiliary equipment of WTG-OEM</t>
  </si>
  <si>
    <t xml:space="preserve">END </t>
  </si>
  <si>
    <t>handover main crane from WTG OEM to Owner</t>
  </si>
  <si>
    <t>Finish load-out operations and prepare for sailing jack-down at port</t>
  </si>
  <si>
    <t>port exit</t>
  </si>
  <si>
    <t>Transit to Project location</t>
  </si>
  <si>
    <t>DP trials before entering Dreekant OWF borders</t>
  </si>
  <si>
    <t>pre-loading and jack-up to working height</t>
  </si>
  <si>
    <t>preparation of TP and TP-cover removal</t>
  </si>
  <si>
    <t>prepare for tower lifting</t>
  </si>
  <si>
    <t>installation of tower (safe to safe)</t>
  </si>
  <si>
    <t>de-rigging tower</t>
  </si>
  <si>
    <t>prepare for nacelle lifting</t>
  </si>
  <si>
    <t>installation of nacelle (safe to safe)</t>
  </si>
  <si>
    <t>de-rigging nacelle</t>
  </si>
  <si>
    <t>prepare for blade lifting</t>
  </si>
  <si>
    <t>installation of blade 1 (per blade &amp; safe to safe)</t>
  </si>
  <si>
    <t>installation of blade 2 (per blade &amp; safe to safe)</t>
  </si>
  <si>
    <t>installation of blade 3 (per blade &amp; safe to safe)</t>
  </si>
  <si>
    <t>de-rigging blades</t>
  </si>
  <si>
    <t>WTG completion works</t>
  </si>
  <si>
    <t>preparation works before jack-down</t>
  </si>
  <si>
    <t>jack-down at location</t>
  </si>
  <si>
    <t>Relocate to next asset</t>
  </si>
  <si>
    <t>jmooring port / quay</t>
  </si>
  <si>
    <t>DP positioning on foundation</t>
  </si>
  <si>
    <t>TP / interface inspection</t>
  </si>
  <si>
    <t>Lift tower section 1</t>
  </si>
  <si>
    <t>Set‑down &amp; bolt tower section 1</t>
  </si>
  <si>
    <t>Lift/set tower section 2</t>
  </si>
  <si>
    <t>Lift/set tower section 3 (if any)</t>
  </si>
  <si>
    <t>Lift nacelle from deck</t>
  </si>
  <si>
    <t>Nacelle overboard &amp; set‑down</t>
  </si>
  <si>
    <t>Lift blade 1</t>
  </si>
  <si>
    <t>Blade 1 hub mating &amp; bolting</t>
  </si>
  <si>
    <t>Blade 2 install</t>
  </si>
  <si>
    <t>Blade 3 install</t>
  </si>
  <si>
    <t>Final bolting &amp; torqueing</t>
  </si>
  <si>
    <t>Mechanical completion checks</t>
  </si>
  <si>
    <t xml:space="preserve">Clear turbine &amp; move‑off to next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</si>
</sst>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5">
    <xf numFmtId="0" fontId="0" fillId="0" borderId="0" xfId="0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7" borderId="3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/>
    <xf numFmtId="0" fontId="4" fillId="7" borderId="4" xfId="0" applyFont="1" applyFill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4" fillId="7" borderId="2" xfId="0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0" borderId="3" xfId="0" applyFont="1" applyBorder="1"/>
    <xf numFmtId="0" fontId="4" fillId="7" borderId="3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/>
    <xf numFmtId="0" fontId="4" fillId="7" borderId="5" xfId="0" applyFont="1" applyFill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4" fillId="9" borderId="2" xfId="0" applyFont="1" applyFill="1" applyBorder="1"/>
    <xf numFmtId="2" fontId="4" fillId="9" borderId="2" xfId="0" applyNumberFormat="1" applyFont="1" applyFill="1" applyBorder="1" applyAlignment="1">
      <alignment horizontal="center"/>
    </xf>
    <xf numFmtId="0" fontId="4" fillId="9" borderId="3" xfId="0" applyFont="1" applyFill="1" applyBorder="1"/>
    <xf numFmtId="0" fontId="0" fillId="7" borderId="3" xfId="0" applyFill="1" applyBorder="1"/>
    <xf numFmtId="2" fontId="4" fillId="9" borderId="3" xfId="0" applyNumberFormat="1" applyFont="1" applyFill="1" applyBorder="1" applyAlignment="1">
      <alignment horizontal="center"/>
    </xf>
    <xf numFmtId="0" fontId="4" fillId="9" borderId="4" xfId="0" applyFont="1" applyFill="1" applyBorder="1"/>
    <xf numFmtId="2" fontId="0" fillId="0" borderId="4" xfId="0" applyNumberFormat="1" applyBorder="1" applyAlignment="1">
      <alignment horizontal="center"/>
    </xf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0" fontId="0" fillId="0" borderId="6" xfId="0" applyBorder="1"/>
    <xf numFmtId="9" fontId="0" fillId="0" borderId="6" xfId="1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6" xfId="0" applyFont="1" applyBorder="1"/>
    <xf numFmtId="9" fontId="1" fillId="0" borderId="6" xfId="1" applyFont="1" applyBorder="1"/>
    <xf numFmtId="9" fontId="0" fillId="0" borderId="0" xfId="1" applyFont="1"/>
    <xf numFmtId="9" fontId="0" fillId="0" borderId="6" xfId="1" applyFont="1" applyBorder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Per cent" xfId="1" builtinId="5"/>
  </cellStyles>
  <dxfs count="15"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1EF2-5F83-447C-A646-8B226C8CDBB3}">
  <dimension ref="D6:E8"/>
  <sheetViews>
    <sheetView workbookViewId="0"/>
  </sheetViews>
  <sheetFormatPr defaultRowHeight="14.45"/>
  <sheetData>
    <row r="6" spans="4:5">
      <c r="D6" s="55" t="b">
        <v>1</v>
      </c>
      <c r="E6" s="55" t="s">
        <v>0</v>
      </c>
    </row>
    <row r="7" spans="4:5">
      <c r="D7" s="55" t="b">
        <v>0</v>
      </c>
      <c r="E7" s="55" t="s">
        <v>1</v>
      </c>
    </row>
    <row r="8" spans="4:5">
      <c r="D8" s="55"/>
      <c r="E8" s="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8D5C-8E21-44E0-825A-AF89AE0AA4E5}">
  <dimension ref="A1:K12"/>
  <sheetViews>
    <sheetView workbookViewId="0">
      <selection activeCell="E15" sqref="E15"/>
    </sheetView>
  </sheetViews>
  <sheetFormatPr defaultRowHeight="14.45"/>
  <cols>
    <col min="1" max="1" width="8.140625" customWidth="1"/>
    <col min="2" max="2" width="66" customWidth="1"/>
    <col min="3" max="11" width="18.42578125" customWidth="1"/>
  </cols>
  <sheetData>
    <row r="1" spans="1:11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>
      <c r="A2">
        <v>1</v>
      </c>
      <c r="B2" t="s">
        <v>13</v>
      </c>
      <c r="C2" t="s">
        <v>14</v>
      </c>
      <c r="D2">
        <v>7.1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>
      <c r="A3">
        <v>2</v>
      </c>
      <c r="B3" t="s">
        <v>15</v>
      </c>
      <c r="C3">
        <v>1</v>
      </c>
      <c r="D3">
        <v>2.5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11">
      <c r="A4">
        <v>3</v>
      </c>
      <c r="B4" t="s">
        <v>17</v>
      </c>
      <c r="C4">
        <v>8</v>
      </c>
      <c r="D4">
        <v>2.5</v>
      </c>
      <c r="E4">
        <v>18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11">
      <c r="A5">
        <v>4</v>
      </c>
      <c r="B5" t="s">
        <v>18</v>
      </c>
      <c r="C5">
        <v>3</v>
      </c>
      <c r="D5">
        <v>2.5</v>
      </c>
      <c r="E5">
        <v>18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11">
      <c r="A6">
        <v>5</v>
      </c>
      <c r="B6" t="s">
        <v>19</v>
      </c>
      <c r="C6" t="s">
        <v>14</v>
      </c>
      <c r="D6">
        <v>7.1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</row>
    <row r="7" spans="1:11">
      <c r="A7">
        <v>6</v>
      </c>
      <c r="B7" t="s">
        <v>20</v>
      </c>
      <c r="C7">
        <v>2</v>
      </c>
      <c r="D7">
        <v>6</v>
      </c>
      <c r="E7">
        <v>18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0</v>
      </c>
    </row>
    <row r="8" spans="1:11">
      <c r="A8">
        <v>7</v>
      </c>
      <c r="B8" t="s">
        <v>21</v>
      </c>
      <c r="C8">
        <v>2</v>
      </c>
      <c r="D8">
        <v>6</v>
      </c>
      <c r="E8">
        <v>18</v>
      </c>
      <c r="F8" s="57">
        <f t="shared" si="0"/>
        <v>0.5</v>
      </c>
      <c r="G8" s="56">
        <f t="shared" si="1"/>
        <v>1</v>
      </c>
      <c r="H8" s="56">
        <f t="shared" si="2"/>
        <v>3</v>
      </c>
      <c r="I8" s="55" t="s">
        <v>16</v>
      </c>
      <c r="J8" s="55" t="b">
        <v>0</v>
      </c>
      <c r="K8" s="55" t="b">
        <v>0</v>
      </c>
    </row>
    <row r="9" spans="1:11">
      <c r="A9">
        <v>8</v>
      </c>
      <c r="B9" t="s">
        <v>22</v>
      </c>
      <c r="C9">
        <v>4</v>
      </c>
      <c r="D9">
        <v>2.5</v>
      </c>
      <c r="E9">
        <v>18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</row>
    <row r="10" spans="1:11" ht="29.1">
      <c r="A10">
        <v>9</v>
      </c>
      <c r="B10" s="54" t="s">
        <v>23</v>
      </c>
      <c r="C10">
        <v>10</v>
      </c>
      <c r="D10">
        <v>2.5</v>
      </c>
      <c r="E10">
        <v>18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</row>
    <row r="11" spans="1:11">
      <c r="A11">
        <v>10</v>
      </c>
      <c r="B11" t="s">
        <v>24</v>
      </c>
      <c r="C11">
        <v>2</v>
      </c>
      <c r="D11">
        <v>2.5</v>
      </c>
      <c r="E11">
        <v>18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</row>
    <row r="12" spans="1:11" ht="15" thickBot="1">
      <c r="A12" s="58">
        <v>11</v>
      </c>
      <c r="B12" s="58" t="s">
        <v>25</v>
      </c>
      <c r="C12" s="58">
        <v>1</v>
      </c>
      <c r="D12" s="58">
        <v>6</v>
      </c>
      <c r="E12" s="58">
        <v>18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</row>
  </sheetData>
  <conditionalFormatting sqref="I1:K1">
    <cfRule type="expression" dxfId="14" priority="3">
      <formula>I1 &lt;&gt; FALSE</formula>
    </cfRule>
  </conditionalFormatting>
  <conditionalFormatting sqref="I2:K12">
    <cfRule type="expression" dxfId="13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38F54A-B660-42A9-B0B1-72118D5622B6}">
          <x14:formula1>
            <xm:f>'Read Me'!$D$6:$D$7</xm:f>
          </x14:formula1>
          <xm:sqref>I2:I12</xm:sqref>
        </x14:dataValidation>
        <x14:dataValidation type="list" allowBlank="1" showInputMessage="1" showErrorMessage="1" xr:uid="{3A473D1B-3BB2-449D-B158-7FC400FA1284}">
          <x14:formula1>
            <xm:f>'Read Me'!$E$6:$E$8</xm:f>
          </x14:formula1>
          <xm:sqref>J2:K12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355D-CC5F-4053-AF68-600717444A9E}">
  <dimension ref="A1:K9"/>
  <sheetViews>
    <sheetView workbookViewId="0">
      <selection activeCell="B1" sqref="B1"/>
    </sheetView>
  </sheetViews>
  <sheetFormatPr defaultRowHeight="14.45"/>
  <cols>
    <col min="1" max="1" width="8.140625" customWidth="1"/>
    <col min="2" max="2" width="103.28515625" bestFit="1" customWidth="1"/>
    <col min="3" max="11" width="18.42578125" customWidth="1"/>
  </cols>
  <sheetData>
    <row r="1" spans="1:11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>
      <c r="A2">
        <v>1</v>
      </c>
      <c r="B2" t="s">
        <v>19</v>
      </c>
      <c r="C2" t="s">
        <v>14</v>
      </c>
      <c r="D2">
        <v>6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>
      <c r="A3">
        <f t="shared" ref="A3:A9" si="3">A2+1</f>
        <v>2</v>
      </c>
      <c r="B3" t="s">
        <v>26</v>
      </c>
      <c r="C3">
        <v>2</v>
      </c>
      <c r="D3">
        <v>2.5</v>
      </c>
      <c r="E3">
        <v>18</v>
      </c>
      <c r="F3" s="57">
        <v>0.2</v>
      </c>
      <c r="G3" s="56">
        <f t="shared" si="1"/>
        <v>0.4</v>
      </c>
      <c r="H3" s="56">
        <f t="shared" si="2"/>
        <v>2.4</v>
      </c>
      <c r="I3" s="55" t="s">
        <v>16</v>
      </c>
      <c r="J3" s="55" t="b">
        <v>0</v>
      </c>
      <c r="K3" s="55" t="s">
        <v>0</v>
      </c>
    </row>
    <row r="4" spans="1:11">
      <c r="A4">
        <f t="shared" si="3"/>
        <v>3</v>
      </c>
      <c r="B4" t="s">
        <v>27</v>
      </c>
      <c r="C4">
        <v>3</v>
      </c>
      <c r="D4">
        <v>2.5</v>
      </c>
      <c r="E4">
        <v>18</v>
      </c>
      <c r="F4" s="57">
        <v>0.2</v>
      </c>
      <c r="G4" s="56">
        <f t="shared" si="1"/>
        <v>0.60000000000000009</v>
      </c>
      <c r="H4" s="56">
        <f t="shared" si="2"/>
        <v>3.5999999999999996</v>
      </c>
      <c r="I4" s="55" t="s">
        <v>16</v>
      </c>
      <c r="J4" s="55" t="b">
        <v>0</v>
      </c>
      <c r="K4" s="55" t="b">
        <v>0</v>
      </c>
    </row>
    <row r="5" spans="1:11">
      <c r="A5">
        <f t="shared" si="3"/>
        <v>4</v>
      </c>
      <c r="B5" t="s">
        <v>28</v>
      </c>
      <c r="C5">
        <v>6</v>
      </c>
      <c r="D5">
        <v>2.5</v>
      </c>
      <c r="E5">
        <v>18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>
      <c r="A6">
        <f t="shared" si="3"/>
        <v>5</v>
      </c>
      <c r="B6" t="s">
        <v>29</v>
      </c>
      <c r="C6">
        <v>14</v>
      </c>
      <c r="D6">
        <v>2.5</v>
      </c>
      <c r="E6">
        <v>18</v>
      </c>
      <c r="F6" s="57">
        <v>0.2</v>
      </c>
      <c r="G6" s="56">
        <f t="shared" si="1"/>
        <v>2.8000000000000003</v>
      </c>
      <c r="H6" s="56">
        <f t="shared" si="2"/>
        <v>16.8</v>
      </c>
      <c r="I6" s="55" t="s">
        <v>16</v>
      </c>
      <c r="J6" s="55" t="b">
        <v>0</v>
      </c>
      <c r="K6" s="55" t="b">
        <v>0</v>
      </c>
    </row>
    <row r="7" spans="1:11">
      <c r="A7">
        <f t="shared" si="3"/>
        <v>6</v>
      </c>
      <c r="B7" t="s">
        <v>30</v>
      </c>
      <c r="C7">
        <v>6</v>
      </c>
      <c r="D7">
        <v>2.5</v>
      </c>
      <c r="E7">
        <v>18</v>
      </c>
      <c r="F7" s="57">
        <v>0.2</v>
      </c>
      <c r="G7" s="56">
        <f t="shared" si="1"/>
        <v>1.2000000000000002</v>
      </c>
      <c r="H7" s="56">
        <f t="shared" si="2"/>
        <v>7.1999999999999993</v>
      </c>
      <c r="I7" s="55" t="s">
        <v>16</v>
      </c>
      <c r="J7" s="55" t="b">
        <v>0</v>
      </c>
      <c r="K7" s="55" t="b">
        <v>0</v>
      </c>
    </row>
    <row r="8" spans="1:11">
      <c r="A8">
        <f t="shared" si="3"/>
        <v>7</v>
      </c>
      <c r="B8" t="s">
        <v>31</v>
      </c>
      <c r="C8">
        <v>4</v>
      </c>
      <c r="D8">
        <v>6</v>
      </c>
      <c r="E8">
        <v>18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>
      <c r="A9" s="58">
        <f t="shared" si="3"/>
        <v>8</v>
      </c>
      <c r="B9" s="58" t="s">
        <v>32</v>
      </c>
      <c r="C9" s="58">
        <v>2</v>
      </c>
      <c r="D9" s="58">
        <v>6</v>
      </c>
      <c r="E9" s="58">
        <v>18</v>
      </c>
      <c r="F9" s="59">
        <v>0.2</v>
      </c>
      <c r="G9" s="60">
        <f t="shared" si="1"/>
        <v>0.4</v>
      </c>
      <c r="H9" s="60">
        <f t="shared" si="2"/>
        <v>2.4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12" priority="2">
      <formula>I1 &lt;&gt; FALSE</formula>
    </cfRule>
  </conditionalFormatting>
  <conditionalFormatting sqref="I2:K9">
    <cfRule type="expression" dxfId="11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674E8D-4E24-4926-BBD6-FB089487D841}">
          <x14:formula1>
            <xm:f>'Read Me'!$D$6:$D$7</xm:f>
          </x14:formula1>
          <xm:sqref>I2:I9</xm:sqref>
        </x14:dataValidation>
        <x14:dataValidation type="list" allowBlank="1" showInputMessage="1" showErrorMessage="1" xr:uid="{F9A293A3-724B-41FD-978C-638799A09CC6}">
          <x14:formula1>
            <xm:f>'Read Me'!$E$6:$E$8</xm:f>
          </x14:formula1>
          <xm:sqref>J2:K9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2C82-781C-4E8E-ABBA-16CE4F361EA0}">
  <dimension ref="A1:Q23"/>
  <sheetViews>
    <sheetView tabSelected="1" workbookViewId="0">
      <selection activeCell="B22" sqref="B22"/>
    </sheetView>
  </sheetViews>
  <sheetFormatPr defaultRowHeight="14.45"/>
  <cols>
    <col min="1" max="1" width="5" customWidth="1"/>
    <col min="2" max="2" width="131.28515625" bestFit="1" customWidth="1"/>
    <col min="3" max="3" width="12.28515625" bestFit="1" customWidth="1"/>
    <col min="4" max="4" width="15.5703125" bestFit="1" customWidth="1"/>
    <col min="5" max="5" width="16.140625" bestFit="1" customWidth="1"/>
    <col min="6" max="6" width="9.5703125" style="76" bestFit="1" customWidth="1"/>
    <col min="7" max="7" width="7.42578125" bestFit="1" customWidth="1"/>
    <col min="8" max="8" width="7.140625" bestFit="1" customWidth="1"/>
    <col min="9" max="9" width="6.85546875" bestFit="1" customWidth="1"/>
    <col min="10" max="10" width="8" bestFit="1" customWidth="1"/>
    <col min="11" max="11" width="10.5703125" bestFit="1" customWidth="1"/>
    <col min="12" max="13" width="10.140625" bestFit="1" customWidth="1"/>
  </cols>
  <sheetData>
    <row r="1" spans="1:17" ht="15" thickBot="1">
      <c r="A1" s="74" t="s">
        <v>2</v>
      </c>
      <c r="B1" s="74" t="s">
        <v>33</v>
      </c>
      <c r="C1" s="74" t="s">
        <v>4</v>
      </c>
      <c r="D1" s="74" t="s">
        <v>5</v>
      </c>
      <c r="E1" s="74" t="s">
        <v>6</v>
      </c>
      <c r="F1" s="75" t="s">
        <v>7</v>
      </c>
      <c r="G1" s="74" t="s">
        <v>8</v>
      </c>
      <c r="H1" s="74" t="s">
        <v>9</v>
      </c>
      <c r="I1" s="74" t="s">
        <v>10</v>
      </c>
      <c r="J1" s="74" t="s">
        <v>11</v>
      </c>
      <c r="K1" s="74" t="s">
        <v>12</v>
      </c>
      <c r="L1" s="74" t="s">
        <v>34</v>
      </c>
      <c r="M1" s="74" t="s">
        <v>35</v>
      </c>
    </row>
    <row r="2" spans="1:17" ht="15" thickBot="1">
      <c r="A2" s="58">
        <v>1</v>
      </c>
      <c r="B2" s="58" t="s">
        <v>36</v>
      </c>
      <c r="C2" s="60">
        <v>1</v>
      </c>
      <c r="D2" s="58">
        <v>6</v>
      </c>
      <c r="E2" s="58">
        <v>18</v>
      </c>
      <c r="F2" s="77">
        <v>0</v>
      </c>
      <c r="G2" s="58">
        <v>0</v>
      </c>
      <c r="H2" s="58">
        <v>1</v>
      </c>
      <c r="I2" s="78" t="b">
        <v>0</v>
      </c>
      <c r="J2" s="81" t="b">
        <v>0</v>
      </c>
      <c r="K2" s="81" t="b">
        <v>0</v>
      </c>
      <c r="L2" s="83" t="b">
        <v>0</v>
      </c>
      <c r="M2" s="83" t="b">
        <v>0</v>
      </c>
    </row>
    <row r="3" spans="1:17">
      <c r="A3">
        <f t="shared" ref="A3:A23" si="0">A2+1</f>
        <v>2</v>
      </c>
      <c r="B3" t="s">
        <v>37</v>
      </c>
      <c r="C3" s="56">
        <v>1</v>
      </c>
      <c r="D3">
        <v>2.5</v>
      </c>
      <c r="E3">
        <v>18</v>
      </c>
      <c r="F3" s="76">
        <v>0</v>
      </c>
      <c r="G3">
        <f>IF(ISTEXT(C3), 0, C3*(F3))</f>
        <v>0</v>
      </c>
      <c r="H3">
        <f>IF(ISTEXT(C3), 0, C3+G3)</f>
        <v>1</v>
      </c>
      <c r="I3" s="79" t="b">
        <v>0</v>
      </c>
      <c r="J3" s="82" t="s">
        <v>0</v>
      </c>
      <c r="K3" s="82" t="b">
        <v>0</v>
      </c>
      <c r="L3" s="84" t="b">
        <v>1</v>
      </c>
      <c r="M3" s="84" t="b">
        <v>0</v>
      </c>
    </row>
    <row r="4" spans="1:17">
      <c r="A4">
        <f t="shared" si="0"/>
        <v>3</v>
      </c>
      <c r="B4" t="s">
        <v>38</v>
      </c>
      <c r="C4" s="56">
        <v>1.5</v>
      </c>
      <c r="D4">
        <v>2.5</v>
      </c>
      <c r="E4">
        <v>18</v>
      </c>
      <c r="F4" s="76">
        <v>0.2</v>
      </c>
      <c r="G4">
        <f t="shared" ref="G4:G23" si="1">IF(ISTEXT(C4), 0, C4*(F4))</f>
        <v>0.30000000000000004</v>
      </c>
      <c r="H4">
        <f t="shared" ref="H4:H23" si="2">IF(ISTEXT(C4), 0, C4+G4)</f>
        <v>1.8</v>
      </c>
      <c r="I4" s="79" t="b">
        <v>0</v>
      </c>
      <c r="J4" s="82" t="b">
        <v>0</v>
      </c>
      <c r="K4" s="82" t="b">
        <v>0</v>
      </c>
      <c r="L4" s="84" t="b">
        <v>1</v>
      </c>
      <c r="M4" s="84" t="b">
        <v>0</v>
      </c>
    </row>
    <row r="5" spans="1:17">
      <c r="A5">
        <f t="shared" si="0"/>
        <v>4</v>
      </c>
      <c r="B5" t="s">
        <v>39</v>
      </c>
      <c r="C5" s="56">
        <v>2.5</v>
      </c>
      <c r="D5">
        <v>2.5</v>
      </c>
      <c r="E5">
        <v>18</v>
      </c>
      <c r="F5" s="76">
        <v>0.2</v>
      </c>
      <c r="G5">
        <f t="shared" si="1"/>
        <v>0.5</v>
      </c>
      <c r="H5">
        <f t="shared" si="2"/>
        <v>3</v>
      </c>
      <c r="I5" s="79" t="b">
        <v>0</v>
      </c>
      <c r="J5" s="82" t="b">
        <v>0</v>
      </c>
      <c r="K5" s="82" t="b">
        <v>0</v>
      </c>
      <c r="L5" s="84" t="b">
        <v>1</v>
      </c>
      <c r="M5" s="84" t="b">
        <v>0</v>
      </c>
      <c r="O5" t="s">
        <v>40</v>
      </c>
      <c r="P5">
        <v>10.5</v>
      </c>
      <c r="Q5">
        <f>P5*8</f>
        <v>84</v>
      </c>
    </row>
    <row r="6" spans="1:17">
      <c r="A6">
        <f t="shared" si="0"/>
        <v>5</v>
      </c>
      <c r="B6" t="s">
        <v>41</v>
      </c>
      <c r="C6" s="56">
        <v>3</v>
      </c>
      <c r="D6">
        <v>2.5</v>
      </c>
      <c r="E6">
        <v>18</v>
      </c>
      <c r="F6" s="76">
        <v>0.2</v>
      </c>
      <c r="G6">
        <f t="shared" si="1"/>
        <v>0.60000000000000009</v>
      </c>
      <c r="H6">
        <f t="shared" si="2"/>
        <v>3.6</v>
      </c>
      <c r="I6" s="79" t="b">
        <v>0</v>
      </c>
      <c r="J6" s="82" t="b">
        <v>0</v>
      </c>
      <c r="K6" s="82" t="b">
        <v>0</v>
      </c>
      <c r="L6" s="84" t="b">
        <v>1</v>
      </c>
      <c r="M6" s="84" t="b">
        <v>0</v>
      </c>
    </row>
    <row r="7" spans="1:17" ht="15" thickBot="1">
      <c r="A7" s="58">
        <f t="shared" si="0"/>
        <v>6</v>
      </c>
      <c r="B7" s="58" t="s">
        <v>42</v>
      </c>
      <c r="C7" s="60">
        <v>2.5</v>
      </c>
      <c r="D7" s="58">
        <v>2.5</v>
      </c>
      <c r="E7" s="58">
        <v>18</v>
      </c>
      <c r="F7" s="77">
        <v>0.2</v>
      </c>
      <c r="G7" s="58">
        <f t="shared" si="1"/>
        <v>0.5</v>
      </c>
      <c r="H7" s="58">
        <f t="shared" si="2"/>
        <v>3</v>
      </c>
      <c r="I7" s="80" t="b">
        <v>0</v>
      </c>
      <c r="J7" s="81" t="b">
        <v>0</v>
      </c>
      <c r="K7" s="81" t="b">
        <v>0</v>
      </c>
      <c r="L7" s="83" t="b">
        <v>1</v>
      </c>
      <c r="M7" s="83" t="b">
        <v>0</v>
      </c>
      <c r="O7" t="s">
        <v>43</v>
      </c>
      <c r="P7">
        <f>14*8</f>
        <v>112</v>
      </c>
    </row>
    <row r="8" spans="1:17">
      <c r="A8">
        <f t="shared" si="0"/>
        <v>7</v>
      </c>
      <c r="B8" t="s">
        <v>44</v>
      </c>
      <c r="C8" s="56">
        <v>0.2</v>
      </c>
      <c r="D8">
        <v>2.5</v>
      </c>
      <c r="E8">
        <v>18</v>
      </c>
      <c r="F8" s="76">
        <v>0.2</v>
      </c>
      <c r="G8">
        <f t="shared" si="1"/>
        <v>4.0000000000000008E-2</v>
      </c>
      <c r="H8">
        <f t="shared" si="2"/>
        <v>0.24000000000000002</v>
      </c>
      <c r="I8" s="79" t="b">
        <v>0</v>
      </c>
      <c r="J8" s="82" t="b">
        <v>0</v>
      </c>
      <c r="K8" s="82" t="b">
        <v>0</v>
      </c>
      <c r="L8" s="84" t="b">
        <v>0</v>
      </c>
      <c r="M8" s="84" t="b">
        <v>1</v>
      </c>
    </row>
    <row r="9" spans="1:17">
      <c r="A9">
        <f t="shared" si="0"/>
        <v>8</v>
      </c>
      <c r="B9" t="s">
        <v>45</v>
      </c>
      <c r="C9" s="56">
        <f>9/8</f>
        <v>1.125</v>
      </c>
      <c r="D9">
        <v>2.5</v>
      </c>
      <c r="E9">
        <v>18</v>
      </c>
      <c r="F9" s="76">
        <v>0.2</v>
      </c>
      <c r="G9">
        <f t="shared" si="1"/>
        <v>0.22500000000000001</v>
      </c>
      <c r="H9">
        <f t="shared" si="2"/>
        <v>1.35</v>
      </c>
      <c r="I9" s="79" t="b">
        <v>0</v>
      </c>
      <c r="J9" s="82" t="b">
        <v>0</v>
      </c>
      <c r="K9" s="82" t="b">
        <v>0</v>
      </c>
      <c r="L9" s="84" t="b">
        <v>0</v>
      </c>
      <c r="M9" s="84" t="b">
        <v>1</v>
      </c>
    </row>
    <row r="10" spans="1:17">
      <c r="A10">
        <f t="shared" si="0"/>
        <v>9</v>
      </c>
      <c r="B10" t="s">
        <v>46</v>
      </c>
      <c r="C10" s="56">
        <v>0.2</v>
      </c>
      <c r="D10">
        <v>2.5</v>
      </c>
      <c r="E10">
        <v>18</v>
      </c>
      <c r="F10" s="76">
        <v>0.2</v>
      </c>
      <c r="G10">
        <f t="shared" si="1"/>
        <v>4.0000000000000008E-2</v>
      </c>
      <c r="H10">
        <f t="shared" si="2"/>
        <v>0.24000000000000002</v>
      </c>
      <c r="I10" s="79" t="b">
        <v>0</v>
      </c>
      <c r="J10" s="82" t="b">
        <v>0</v>
      </c>
      <c r="K10" s="82" t="b">
        <v>0</v>
      </c>
      <c r="L10" s="84" t="b">
        <v>0</v>
      </c>
      <c r="M10" s="84" t="b">
        <v>1</v>
      </c>
    </row>
    <row r="11" spans="1:17">
      <c r="A11">
        <f t="shared" si="0"/>
        <v>10</v>
      </c>
      <c r="B11" t="s">
        <v>47</v>
      </c>
      <c r="C11" s="56">
        <f>28/8</f>
        <v>3.5</v>
      </c>
      <c r="D11">
        <v>2.5</v>
      </c>
      <c r="E11">
        <v>18</v>
      </c>
      <c r="F11" s="76">
        <v>0.2</v>
      </c>
      <c r="G11">
        <f t="shared" si="1"/>
        <v>0.70000000000000007</v>
      </c>
      <c r="H11">
        <f t="shared" si="2"/>
        <v>4.2</v>
      </c>
      <c r="I11" s="79" t="b">
        <v>0</v>
      </c>
      <c r="J11" s="82" t="b">
        <v>0</v>
      </c>
      <c r="K11" s="82" t="b">
        <v>0</v>
      </c>
      <c r="L11" s="84" t="b">
        <v>0</v>
      </c>
      <c r="M11" s="84" t="b">
        <v>1</v>
      </c>
    </row>
    <row r="12" spans="1:17" ht="15" thickBot="1">
      <c r="A12" s="58">
        <f t="shared" si="0"/>
        <v>11</v>
      </c>
      <c r="B12" s="58" t="s">
        <v>48</v>
      </c>
      <c r="C12" s="60">
        <f>44/8</f>
        <v>5.5</v>
      </c>
      <c r="D12" s="58">
        <v>2.5</v>
      </c>
      <c r="E12" s="58">
        <v>18</v>
      </c>
      <c r="F12" s="77">
        <v>0.2</v>
      </c>
      <c r="G12" s="58">
        <f t="shared" si="1"/>
        <v>1.1000000000000001</v>
      </c>
      <c r="H12" s="58">
        <f t="shared" si="2"/>
        <v>6.6</v>
      </c>
      <c r="I12" s="80" t="b">
        <v>0</v>
      </c>
      <c r="J12" s="81" t="s">
        <v>1</v>
      </c>
      <c r="K12" s="81" t="b">
        <v>0</v>
      </c>
      <c r="L12" s="83" t="b">
        <v>0</v>
      </c>
      <c r="M12" s="83" t="b">
        <v>1</v>
      </c>
    </row>
    <row r="13" spans="1:17" ht="15" thickBot="1">
      <c r="A13">
        <f t="shared" si="0"/>
        <v>12</v>
      </c>
      <c r="B13" s="58" t="s">
        <v>49</v>
      </c>
      <c r="C13" s="60" t="s">
        <v>50</v>
      </c>
      <c r="D13" s="58">
        <v>2.5</v>
      </c>
      <c r="E13" s="58">
        <v>18</v>
      </c>
      <c r="F13" s="77">
        <v>0</v>
      </c>
      <c r="G13" s="58">
        <f t="shared" si="1"/>
        <v>0</v>
      </c>
      <c r="H13" s="58">
        <f t="shared" si="2"/>
        <v>0</v>
      </c>
      <c r="I13" s="80" t="b">
        <v>1</v>
      </c>
      <c r="J13" s="81" t="b">
        <v>0</v>
      </c>
      <c r="K13" s="81" t="b">
        <v>0</v>
      </c>
      <c r="L13" s="83" t="b">
        <v>0</v>
      </c>
      <c r="M13" s="83" t="b">
        <v>0</v>
      </c>
    </row>
    <row r="14" spans="1:17">
      <c r="A14">
        <f t="shared" si="0"/>
        <v>13</v>
      </c>
      <c r="B14" t="s">
        <v>51</v>
      </c>
      <c r="C14" s="56">
        <v>1</v>
      </c>
      <c r="D14">
        <v>6</v>
      </c>
      <c r="E14">
        <v>18</v>
      </c>
      <c r="F14" s="76">
        <v>0.3</v>
      </c>
      <c r="G14">
        <f t="shared" si="1"/>
        <v>0.3</v>
      </c>
      <c r="H14">
        <f t="shared" si="2"/>
        <v>1.3</v>
      </c>
      <c r="I14" s="79" t="b">
        <v>0</v>
      </c>
      <c r="J14" s="82" t="b">
        <v>0</v>
      </c>
      <c r="K14" s="82" t="s">
        <v>0</v>
      </c>
      <c r="L14" s="84" t="b">
        <v>0</v>
      </c>
      <c r="M14" s="84" t="b">
        <v>0</v>
      </c>
    </row>
    <row r="15" spans="1:17">
      <c r="A15">
        <f t="shared" si="0"/>
        <v>14</v>
      </c>
      <c r="B15" t="s">
        <v>52</v>
      </c>
      <c r="C15" s="56">
        <v>1.5</v>
      </c>
      <c r="D15">
        <v>6</v>
      </c>
      <c r="E15">
        <v>18</v>
      </c>
      <c r="F15" s="76">
        <v>0.4</v>
      </c>
      <c r="G15">
        <f t="shared" si="1"/>
        <v>0.60000000000000009</v>
      </c>
      <c r="H15">
        <f t="shared" si="2"/>
        <v>2.1</v>
      </c>
      <c r="I15" s="79" t="b">
        <v>0</v>
      </c>
      <c r="J15" s="82" t="b">
        <v>0</v>
      </c>
      <c r="K15" s="82" t="b">
        <v>0</v>
      </c>
      <c r="L15" s="84" t="b">
        <v>0</v>
      </c>
      <c r="M15" s="84" t="b">
        <v>0</v>
      </c>
    </row>
    <row r="16" spans="1:17">
      <c r="A16">
        <f t="shared" si="0"/>
        <v>15</v>
      </c>
      <c r="B16" t="s">
        <v>53</v>
      </c>
      <c r="C16" s="56">
        <v>0.3</v>
      </c>
      <c r="D16">
        <v>6</v>
      </c>
      <c r="E16">
        <v>18</v>
      </c>
      <c r="F16" s="76">
        <v>0.1</v>
      </c>
      <c r="G16">
        <f t="shared" si="1"/>
        <v>0.03</v>
      </c>
      <c r="H16">
        <f t="shared" si="2"/>
        <v>0.32999999999999996</v>
      </c>
      <c r="I16" s="79" t="b">
        <v>0</v>
      </c>
      <c r="J16" s="82" t="b">
        <v>0</v>
      </c>
      <c r="K16" s="82" t="b">
        <v>0</v>
      </c>
      <c r="L16" s="84" t="b">
        <v>0</v>
      </c>
      <c r="M16" s="84" t="b">
        <v>0</v>
      </c>
    </row>
    <row r="17" spans="1:13">
      <c r="A17">
        <f t="shared" si="0"/>
        <v>16</v>
      </c>
      <c r="B17" t="s">
        <v>54</v>
      </c>
      <c r="C17" s="56">
        <v>4</v>
      </c>
      <c r="D17">
        <v>6</v>
      </c>
      <c r="E17">
        <v>18</v>
      </c>
      <c r="F17" s="76">
        <v>0</v>
      </c>
      <c r="G17">
        <f t="shared" si="1"/>
        <v>0</v>
      </c>
      <c r="H17">
        <f t="shared" si="2"/>
        <v>4</v>
      </c>
      <c r="I17" s="79" t="b">
        <v>0</v>
      </c>
      <c r="J17" s="82" t="b">
        <v>0</v>
      </c>
      <c r="K17" s="82" t="b">
        <v>0</v>
      </c>
      <c r="L17" s="84" t="b">
        <v>0</v>
      </c>
      <c r="M17" s="84" t="b">
        <v>0</v>
      </c>
    </row>
    <row r="18" spans="1:13">
      <c r="A18">
        <f t="shared" si="0"/>
        <v>17</v>
      </c>
      <c r="B18" t="s">
        <v>55</v>
      </c>
      <c r="C18" s="56">
        <v>2.8</v>
      </c>
      <c r="D18">
        <v>6</v>
      </c>
      <c r="E18">
        <v>18</v>
      </c>
      <c r="F18" s="76">
        <v>0.3</v>
      </c>
      <c r="G18">
        <f t="shared" si="1"/>
        <v>0.84</v>
      </c>
      <c r="H18">
        <f t="shared" si="2"/>
        <v>3.6399999999999997</v>
      </c>
      <c r="I18" s="79" t="b">
        <v>0</v>
      </c>
      <c r="J18" s="82" t="b">
        <v>0</v>
      </c>
      <c r="K18" s="82" t="b">
        <v>0</v>
      </c>
      <c r="L18" s="84" t="b">
        <v>0</v>
      </c>
      <c r="M18" s="84" t="b">
        <v>0</v>
      </c>
    </row>
    <row r="19" spans="1:13">
      <c r="A19">
        <f t="shared" si="0"/>
        <v>18</v>
      </c>
      <c r="B19" t="s">
        <v>56</v>
      </c>
      <c r="C19" s="56">
        <v>2.8</v>
      </c>
      <c r="D19">
        <v>6</v>
      </c>
      <c r="E19">
        <v>18</v>
      </c>
      <c r="F19" s="76">
        <v>0.3</v>
      </c>
      <c r="G19">
        <f t="shared" si="1"/>
        <v>0.84</v>
      </c>
      <c r="H19">
        <f t="shared" si="2"/>
        <v>3.6399999999999997</v>
      </c>
      <c r="I19" s="79" t="b">
        <v>0</v>
      </c>
      <c r="J19" s="82" t="b">
        <v>0</v>
      </c>
      <c r="K19" s="82" t="b">
        <v>0</v>
      </c>
      <c r="L19" s="84" t="b">
        <v>0</v>
      </c>
      <c r="M19" s="84" t="b">
        <v>0</v>
      </c>
    </row>
    <row r="20" spans="1:13">
      <c r="A20">
        <f t="shared" si="0"/>
        <v>19</v>
      </c>
      <c r="B20" t="s">
        <v>57</v>
      </c>
      <c r="C20" s="56">
        <v>2.8</v>
      </c>
      <c r="D20">
        <v>6</v>
      </c>
      <c r="E20">
        <v>18</v>
      </c>
      <c r="F20" s="76">
        <v>0.3</v>
      </c>
      <c r="G20">
        <f t="shared" si="1"/>
        <v>0.84</v>
      </c>
      <c r="H20">
        <f t="shared" si="2"/>
        <v>3.6399999999999997</v>
      </c>
      <c r="I20" s="79" t="b">
        <v>0</v>
      </c>
      <c r="J20" s="82" t="b">
        <v>0</v>
      </c>
      <c r="K20" s="82" t="b">
        <v>0</v>
      </c>
      <c r="L20" s="84" t="b">
        <v>0</v>
      </c>
      <c r="M20" s="84" t="b">
        <v>0</v>
      </c>
    </row>
    <row r="21" spans="1:13">
      <c r="A21">
        <f t="shared" si="0"/>
        <v>20</v>
      </c>
      <c r="B21" t="s">
        <v>58</v>
      </c>
      <c r="C21" s="56">
        <v>2.5</v>
      </c>
      <c r="D21">
        <v>4</v>
      </c>
      <c r="E21">
        <v>18</v>
      </c>
      <c r="F21" s="76">
        <v>0.3</v>
      </c>
      <c r="G21">
        <f t="shared" si="1"/>
        <v>0.75</v>
      </c>
      <c r="H21">
        <f t="shared" si="2"/>
        <v>3.25</v>
      </c>
      <c r="I21" s="79" t="b">
        <v>0</v>
      </c>
      <c r="J21" s="82" t="b">
        <v>0</v>
      </c>
      <c r="K21" s="82" t="b">
        <v>0</v>
      </c>
      <c r="L21" s="84" t="b">
        <v>0</v>
      </c>
      <c r="M21" s="84" t="b">
        <v>0</v>
      </c>
    </row>
    <row r="22" spans="1:13" ht="15" thickBot="1">
      <c r="A22" s="58">
        <f t="shared" si="0"/>
        <v>21</v>
      </c>
      <c r="B22" s="58" t="s">
        <v>59</v>
      </c>
      <c r="C22" s="60">
        <v>0.5</v>
      </c>
      <c r="D22" s="58">
        <v>6</v>
      </c>
      <c r="E22" s="58">
        <v>18</v>
      </c>
      <c r="F22" s="77">
        <v>0</v>
      </c>
      <c r="G22" s="58">
        <f t="shared" si="1"/>
        <v>0</v>
      </c>
      <c r="H22" s="58">
        <f t="shared" si="2"/>
        <v>0.5</v>
      </c>
      <c r="I22" s="80" t="b">
        <v>0</v>
      </c>
      <c r="J22" s="81" t="b">
        <v>0</v>
      </c>
      <c r="K22" s="81" t="s">
        <v>1</v>
      </c>
      <c r="L22" s="83" t="b">
        <v>0</v>
      </c>
      <c r="M22" s="83" t="b">
        <v>0</v>
      </c>
    </row>
    <row r="23" spans="1:13" ht="15" thickBot="1">
      <c r="A23" s="58">
        <f t="shared" si="0"/>
        <v>22</v>
      </c>
      <c r="B23" s="58" t="s">
        <v>60</v>
      </c>
      <c r="C23" s="60" t="s">
        <v>61</v>
      </c>
      <c r="D23" s="58">
        <v>6</v>
      </c>
      <c r="E23" s="58">
        <v>18</v>
      </c>
      <c r="F23" s="77">
        <v>0</v>
      </c>
      <c r="G23" s="58">
        <f t="shared" si="1"/>
        <v>0</v>
      </c>
      <c r="H23" s="58">
        <f t="shared" si="2"/>
        <v>0</v>
      </c>
      <c r="I23" s="80" t="b">
        <v>1</v>
      </c>
      <c r="J23" s="81" t="b">
        <v>0</v>
      </c>
      <c r="K23" s="81" t="b">
        <v>0</v>
      </c>
      <c r="L23" s="83" t="b">
        <v>0</v>
      </c>
      <c r="M23" s="83" t="b">
        <v>0</v>
      </c>
    </row>
  </sheetData>
  <conditionalFormatting sqref="I2:M23">
    <cfRule type="expression" dxfId="10" priority="1">
      <formula>I2 &lt;&gt; 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DEA3-9190-456F-8060-DD0B5A348D27}">
  <dimension ref="A1:AH13"/>
  <sheetViews>
    <sheetView workbookViewId="0">
      <selection activeCell="B7" sqref="B7"/>
    </sheetView>
  </sheetViews>
  <sheetFormatPr defaultRowHeight="14.45"/>
  <cols>
    <col min="1" max="1" width="17.140625" customWidth="1"/>
    <col min="2" max="2" width="63.28515625" customWidth="1"/>
    <col min="3" max="11" width="17.140625" customWidth="1"/>
  </cols>
  <sheetData>
    <row r="1" spans="1:34">
      <c r="A1" s="6" t="s">
        <v>2</v>
      </c>
      <c r="B1" s="1" t="s">
        <v>33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34">
      <c r="A2">
        <v>1</v>
      </c>
      <c r="B2" t="s">
        <v>13</v>
      </c>
      <c r="C2" t="s">
        <v>14</v>
      </c>
      <c r="D2">
        <v>4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34">
      <c r="A3">
        <v>2</v>
      </c>
      <c r="B3" t="s">
        <v>15</v>
      </c>
      <c r="C3">
        <v>1</v>
      </c>
      <c r="D3">
        <v>1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34">
      <c r="A4">
        <v>3</v>
      </c>
      <c r="B4" t="s">
        <v>17</v>
      </c>
      <c r="C4">
        <v>8</v>
      </c>
      <c r="D4">
        <v>1.5</v>
      </c>
      <c r="E4">
        <v>11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34">
      <c r="A5">
        <v>4</v>
      </c>
      <c r="B5" t="s">
        <v>18</v>
      </c>
      <c r="C5">
        <v>3</v>
      </c>
      <c r="D5">
        <v>1</v>
      </c>
      <c r="E5">
        <v>11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34">
      <c r="A6">
        <v>5</v>
      </c>
      <c r="B6" t="s">
        <v>19</v>
      </c>
      <c r="C6" t="s">
        <v>14</v>
      </c>
      <c r="D6">
        <v>4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  <c r="AC6" s="52"/>
      <c r="AD6" s="52"/>
      <c r="AE6" s="52"/>
      <c r="AF6" s="52"/>
      <c r="AG6" s="52"/>
      <c r="AH6" s="53"/>
    </row>
    <row r="7" spans="1:34">
      <c r="A7">
        <v>6</v>
      </c>
      <c r="B7" t="s">
        <v>20</v>
      </c>
      <c r="C7">
        <v>2</v>
      </c>
      <c r="D7">
        <v>2.5</v>
      </c>
      <c r="E7">
        <v>14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1</v>
      </c>
    </row>
    <row r="8" spans="1:34">
      <c r="A8">
        <v>7</v>
      </c>
      <c r="B8" t="s">
        <v>62</v>
      </c>
      <c r="C8">
        <v>6</v>
      </c>
      <c r="D8">
        <v>1.5</v>
      </c>
      <c r="E8">
        <v>11</v>
      </c>
      <c r="F8" s="57">
        <f t="shared" si="0"/>
        <v>0.5</v>
      </c>
      <c r="G8" s="56">
        <f t="shared" si="1"/>
        <v>3</v>
      </c>
      <c r="H8" s="56">
        <f t="shared" si="2"/>
        <v>9</v>
      </c>
      <c r="I8" s="55" t="s">
        <v>16</v>
      </c>
      <c r="J8" s="55" t="b">
        <v>0</v>
      </c>
      <c r="K8" s="55" t="b">
        <v>0</v>
      </c>
      <c r="AA8" s="52"/>
    </row>
    <row r="9" spans="1:34">
      <c r="A9">
        <v>8</v>
      </c>
      <c r="B9" t="s">
        <v>22</v>
      </c>
      <c r="C9">
        <v>4</v>
      </c>
      <c r="D9">
        <v>1.5</v>
      </c>
      <c r="E9">
        <v>11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  <c r="AA9" s="52"/>
    </row>
    <row r="10" spans="1:34">
      <c r="A10">
        <v>9</v>
      </c>
      <c r="B10" t="s">
        <v>23</v>
      </c>
      <c r="C10">
        <v>10</v>
      </c>
      <c r="D10">
        <v>2</v>
      </c>
      <c r="E10">
        <v>11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  <c r="AA10" s="52"/>
    </row>
    <row r="11" spans="1:34">
      <c r="A11">
        <v>10</v>
      </c>
      <c r="B11" t="s">
        <v>24</v>
      </c>
      <c r="C11">
        <v>2</v>
      </c>
      <c r="D11">
        <v>2</v>
      </c>
      <c r="E11">
        <v>11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  <c r="AA11" s="52"/>
    </row>
    <row r="12" spans="1:34" ht="15" thickBot="1">
      <c r="A12" s="58">
        <v>11</v>
      </c>
      <c r="B12" s="58" t="s">
        <v>25</v>
      </c>
      <c r="C12" s="58">
        <v>1</v>
      </c>
      <c r="D12" s="58">
        <v>4</v>
      </c>
      <c r="E12" s="58">
        <v>14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  <c r="AA12" s="52"/>
    </row>
    <row r="13" spans="1:34">
      <c r="AA13" s="52"/>
    </row>
  </sheetData>
  <conditionalFormatting sqref="I1:K1">
    <cfRule type="expression" dxfId="9" priority="2">
      <formula>I1 &lt;&gt; FALSE</formula>
    </cfRule>
  </conditionalFormatting>
  <conditionalFormatting sqref="I2:K12">
    <cfRule type="expression" dxfId="8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395AB5-8E13-4FF2-B09C-83D9722C7D01}">
          <x14:formula1>
            <xm:f>'Read Me'!$E$6:$E$8</xm:f>
          </x14:formula1>
          <xm:sqref>J2:K12</xm:sqref>
        </x14:dataValidation>
        <x14:dataValidation type="list" allowBlank="1" showInputMessage="1" showErrorMessage="1" xr:uid="{232B83E9-7E28-4ABA-8758-971E22F3256A}">
          <x14:formula1>
            <xm:f>'Read Me'!$D$6:$D$7</xm:f>
          </x14:formula1>
          <xm:sqref>I2:I12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CCA8-4F8D-4B7C-9978-D089A200AF69}">
  <dimension ref="A1:K9"/>
  <sheetViews>
    <sheetView workbookViewId="0">
      <selection activeCell="B37" sqref="B37"/>
    </sheetView>
  </sheetViews>
  <sheetFormatPr defaultRowHeight="14.45"/>
  <cols>
    <col min="1" max="1" width="8.140625" customWidth="1"/>
    <col min="2" max="2" width="103.28515625" bestFit="1" customWidth="1"/>
    <col min="3" max="11" width="18.42578125" customWidth="1"/>
  </cols>
  <sheetData>
    <row r="1" spans="1:11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>
      <c r="A2">
        <v>1</v>
      </c>
      <c r="B2" t="s">
        <v>19</v>
      </c>
      <c r="C2" t="s">
        <v>14</v>
      </c>
      <c r="D2">
        <v>4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>
      <c r="A3">
        <v>2</v>
      </c>
      <c r="B3" t="s">
        <v>63</v>
      </c>
      <c r="C3">
        <v>4</v>
      </c>
      <c r="D3">
        <v>1.5</v>
      </c>
      <c r="E3">
        <v>14</v>
      </c>
      <c r="F3" s="57">
        <v>0.2</v>
      </c>
      <c r="G3" s="56">
        <f t="shared" si="1"/>
        <v>0.8</v>
      </c>
      <c r="H3" s="56">
        <f t="shared" si="2"/>
        <v>4.8</v>
      </c>
      <c r="I3" s="55" t="s">
        <v>16</v>
      </c>
      <c r="J3" s="55" t="b">
        <v>0</v>
      </c>
      <c r="K3" s="55" t="s">
        <v>0</v>
      </c>
    </row>
    <row r="4" spans="1:11">
      <c r="A4">
        <v>3</v>
      </c>
      <c r="B4" t="s">
        <v>27</v>
      </c>
      <c r="C4">
        <v>4</v>
      </c>
      <c r="D4">
        <v>1.5</v>
      </c>
      <c r="E4">
        <v>11</v>
      </c>
      <c r="F4" s="57">
        <v>0.2</v>
      </c>
      <c r="G4" s="56">
        <f t="shared" si="1"/>
        <v>0.8</v>
      </c>
      <c r="H4" s="56">
        <f t="shared" si="2"/>
        <v>4.8</v>
      </c>
      <c r="I4" s="55" t="s">
        <v>16</v>
      </c>
      <c r="J4" s="55" t="b">
        <v>0</v>
      </c>
      <c r="K4" s="55" t="b">
        <v>0</v>
      </c>
    </row>
    <row r="5" spans="1:11">
      <c r="A5">
        <v>4</v>
      </c>
      <c r="B5" t="s">
        <v>28</v>
      </c>
      <c r="C5">
        <v>6</v>
      </c>
      <c r="D5">
        <v>2.5</v>
      </c>
      <c r="E5">
        <v>11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>
      <c r="A6">
        <v>5</v>
      </c>
      <c r="B6" t="s">
        <v>29</v>
      </c>
      <c r="C6">
        <v>16</v>
      </c>
      <c r="D6">
        <v>2.5</v>
      </c>
      <c r="E6">
        <v>11</v>
      </c>
      <c r="F6" s="57">
        <v>0.2</v>
      </c>
      <c r="G6" s="56">
        <f t="shared" si="1"/>
        <v>3.2</v>
      </c>
      <c r="H6" s="56">
        <f t="shared" si="2"/>
        <v>19.2</v>
      </c>
      <c r="I6" s="55" t="s">
        <v>16</v>
      </c>
      <c r="J6" s="55" t="b">
        <v>0</v>
      </c>
      <c r="K6" s="55" t="b">
        <v>0</v>
      </c>
    </row>
    <row r="7" spans="1:11">
      <c r="A7">
        <v>6</v>
      </c>
      <c r="B7" t="s">
        <v>30</v>
      </c>
      <c r="C7">
        <v>8</v>
      </c>
      <c r="D7">
        <v>2.5</v>
      </c>
      <c r="E7">
        <v>11</v>
      </c>
      <c r="F7" s="57">
        <v>0.2</v>
      </c>
      <c r="G7" s="56">
        <f t="shared" si="1"/>
        <v>1.6</v>
      </c>
      <c r="H7" s="56">
        <f t="shared" si="2"/>
        <v>9.6</v>
      </c>
      <c r="I7" s="55" t="s">
        <v>16</v>
      </c>
      <c r="J7" s="55" t="b">
        <v>0</v>
      </c>
      <c r="K7" s="55" t="b">
        <v>0</v>
      </c>
    </row>
    <row r="8" spans="1:11">
      <c r="A8">
        <v>7</v>
      </c>
      <c r="B8" t="s">
        <v>31</v>
      </c>
      <c r="C8">
        <v>4</v>
      </c>
      <c r="D8">
        <v>4</v>
      </c>
      <c r="E8">
        <v>14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>
      <c r="A9" s="58">
        <v>8</v>
      </c>
      <c r="B9" s="58" t="s">
        <v>64</v>
      </c>
      <c r="C9" s="58">
        <v>3</v>
      </c>
      <c r="D9" s="58">
        <v>1.5</v>
      </c>
      <c r="E9" s="58">
        <v>18</v>
      </c>
      <c r="F9" s="59">
        <v>0.2</v>
      </c>
      <c r="G9" s="60">
        <f t="shared" si="1"/>
        <v>0.60000000000000009</v>
      </c>
      <c r="H9" s="60">
        <f t="shared" si="2"/>
        <v>3.5999999999999996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7" priority="2">
      <formula>I1 &lt;&gt; FALSE</formula>
    </cfRule>
  </conditionalFormatting>
  <conditionalFormatting sqref="I2:K9">
    <cfRule type="expression" dxfId="6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56A064-99DB-4783-9477-56ECA8CBB3F8}">
          <x14:formula1>
            <xm:f>'Read Me'!$D$6:$D$7</xm:f>
          </x14:formula1>
          <xm:sqref>I2:I9</xm:sqref>
        </x14:dataValidation>
        <x14:dataValidation type="list" allowBlank="1" showInputMessage="1" showErrorMessage="1" xr:uid="{C84119D9-7D33-4FA4-AD8A-20773789EE95}">
          <x14:formula1>
            <xm:f>'Read Me'!$E$6:$E$8</xm:f>
          </x14:formula1>
          <xm:sqref>J2:K9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32C5-5417-4F5D-AB49-969E32B17CC3}">
  <dimension ref="A1:K35"/>
  <sheetViews>
    <sheetView workbookViewId="0">
      <selection activeCell="D18" sqref="D18"/>
    </sheetView>
  </sheetViews>
  <sheetFormatPr defaultRowHeight="14.45"/>
  <cols>
    <col min="1" max="1" width="2.85546875" bestFit="1" customWidth="1"/>
    <col min="2" max="2" width="62.5703125" bestFit="1" customWidth="1"/>
    <col min="3" max="3" width="12.85546875" bestFit="1" customWidth="1"/>
    <col min="4" max="4" width="15.85546875" bestFit="1" customWidth="1"/>
    <col min="5" max="5" width="16.140625" bestFit="1" customWidth="1"/>
    <col min="6" max="6" width="9.5703125" bestFit="1" customWidth="1"/>
    <col min="7" max="7" width="7.42578125" bestFit="1" customWidth="1"/>
    <col min="8" max="8" width="7.140625" bestFit="1" customWidth="1"/>
    <col min="9" max="9" width="6.85546875" bestFit="1" customWidth="1"/>
    <col min="10" max="10" width="8" bestFit="1" customWidth="1"/>
    <col min="11" max="11" width="10.5703125" bestFit="1" customWidth="1"/>
  </cols>
  <sheetData>
    <row r="1" spans="1:11">
      <c r="A1" s="6" t="s">
        <v>2</v>
      </c>
      <c r="B1" s="1" t="s">
        <v>33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ht="15" thickBot="1">
      <c r="A2" s="8">
        <v>1</v>
      </c>
      <c r="B2" s="9" t="s">
        <v>65</v>
      </c>
      <c r="C2" s="10" t="s">
        <v>66</v>
      </c>
      <c r="D2" s="11" t="s">
        <v>50</v>
      </c>
      <c r="E2" s="12" t="s">
        <v>50</v>
      </c>
      <c r="F2" s="13" t="str">
        <f>IFERROR((H2-C2)/H2, "")</f>
        <v/>
      </c>
      <c r="G2" s="14"/>
      <c r="H2" s="15"/>
      <c r="I2" s="16" t="b">
        <v>1</v>
      </c>
      <c r="J2" s="17" t="b">
        <v>0</v>
      </c>
      <c r="K2" s="17" t="b">
        <v>0</v>
      </c>
    </row>
    <row r="3" spans="1:11">
      <c r="A3" s="18">
        <f>A2+1</f>
        <v>2</v>
      </c>
      <c r="B3" s="19" t="s">
        <v>67</v>
      </c>
      <c r="C3" s="20">
        <v>0.75</v>
      </c>
      <c r="D3" s="11" t="s">
        <v>50</v>
      </c>
      <c r="E3" s="11" t="s">
        <v>50</v>
      </c>
      <c r="F3" s="21">
        <f t="shared" ref="F3:F35" si="0">IFERROR((H3-C3)/H3, "")</f>
        <v>0.5714285714285714</v>
      </c>
      <c r="G3" s="18">
        <v>1</v>
      </c>
      <c r="H3" s="22">
        <f>IFERROR(C3+G3,"")</f>
        <v>1.75</v>
      </c>
      <c r="I3" s="23" t="b">
        <v>0</v>
      </c>
      <c r="J3" s="24" t="b">
        <v>0</v>
      </c>
      <c r="K3" s="24" t="b">
        <v>0</v>
      </c>
    </row>
    <row r="4" spans="1:11">
      <c r="A4" s="25">
        <f>A3+1</f>
        <v>3</v>
      </c>
      <c r="B4" s="26" t="s">
        <v>68</v>
      </c>
      <c r="C4" s="27">
        <v>0.75</v>
      </c>
      <c r="D4" s="11" t="s">
        <v>50</v>
      </c>
      <c r="E4" s="28" t="s">
        <v>50</v>
      </c>
      <c r="F4" s="29">
        <f t="shared" si="0"/>
        <v>0.5714285714285714</v>
      </c>
      <c r="G4" s="25">
        <v>1</v>
      </c>
      <c r="H4" s="30">
        <f t="shared" ref="H4:H35" si="1">IFERROR(C4+G4,"")</f>
        <v>1.75</v>
      </c>
      <c r="I4" s="31" t="b">
        <v>0</v>
      </c>
      <c r="J4" s="32" t="b">
        <v>0</v>
      </c>
      <c r="K4" s="32" t="b">
        <v>0</v>
      </c>
    </row>
    <row r="5" spans="1:11">
      <c r="A5" s="25">
        <f t="shared" ref="A5:A35" si="2">A4+1</f>
        <v>4</v>
      </c>
      <c r="B5" s="26" t="s">
        <v>69</v>
      </c>
      <c r="C5" s="27">
        <v>0.75</v>
      </c>
      <c r="D5" s="11" t="s">
        <v>50</v>
      </c>
      <c r="E5" s="28" t="s">
        <v>50</v>
      </c>
      <c r="F5" s="29">
        <f t="shared" si="0"/>
        <v>0.5714285714285714</v>
      </c>
      <c r="G5" s="25">
        <v>1</v>
      </c>
      <c r="H5" s="30">
        <f t="shared" si="1"/>
        <v>1.75</v>
      </c>
      <c r="I5" s="31" t="b">
        <v>0</v>
      </c>
      <c r="J5" s="32" t="b">
        <v>0</v>
      </c>
      <c r="K5" s="32" t="b">
        <v>0</v>
      </c>
    </row>
    <row r="6" spans="1:11">
      <c r="A6" s="25">
        <f t="shared" si="2"/>
        <v>5</v>
      </c>
      <c r="B6" s="26" t="s">
        <v>70</v>
      </c>
      <c r="C6" s="27">
        <v>0.75</v>
      </c>
      <c r="D6" s="11" t="s">
        <v>50</v>
      </c>
      <c r="E6" s="28" t="s">
        <v>50</v>
      </c>
      <c r="F6" s="29">
        <f t="shared" si="0"/>
        <v>0.5714285714285714</v>
      </c>
      <c r="G6" s="25">
        <v>1</v>
      </c>
      <c r="H6" s="30">
        <f t="shared" si="1"/>
        <v>1.75</v>
      </c>
      <c r="I6" s="31" t="b">
        <v>0</v>
      </c>
      <c r="J6" s="32" t="b">
        <v>0</v>
      </c>
      <c r="K6" s="32" t="b">
        <v>0</v>
      </c>
    </row>
    <row r="7" spans="1:11">
      <c r="A7" s="25">
        <f t="shared" si="2"/>
        <v>6</v>
      </c>
      <c r="B7" s="26" t="s">
        <v>71</v>
      </c>
      <c r="C7" s="27">
        <v>2</v>
      </c>
      <c r="D7" s="11" t="s">
        <v>50</v>
      </c>
      <c r="E7" s="28">
        <v>14</v>
      </c>
      <c r="F7" s="29">
        <f t="shared" si="0"/>
        <v>0.6</v>
      </c>
      <c r="G7" s="25">
        <v>3</v>
      </c>
      <c r="H7" s="30">
        <f t="shared" si="1"/>
        <v>5</v>
      </c>
      <c r="I7" s="31" t="b">
        <v>0</v>
      </c>
      <c r="J7" s="32" t="b">
        <v>0</v>
      </c>
      <c r="K7" s="32" t="b">
        <v>0</v>
      </c>
    </row>
    <row r="8" spans="1:11">
      <c r="A8" s="25">
        <f t="shared" si="2"/>
        <v>7</v>
      </c>
      <c r="B8" s="26" t="s">
        <v>72</v>
      </c>
      <c r="C8" s="27">
        <v>2.5</v>
      </c>
      <c r="D8" s="11" t="s">
        <v>50</v>
      </c>
      <c r="E8" s="28">
        <v>10.5</v>
      </c>
      <c r="F8" s="29">
        <f t="shared" si="0"/>
        <v>0.6</v>
      </c>
      <c r="G8" s="25">
        <v>3.75</v>
      </c>
      <c r="H8" s="30">
        <f t="shared" si="1"/>
        <v>6.25</v>
      </c>
      <c r="I8" s="31" t="b">
        <v>0</v>
      </c>
      <c r="J8" s="32" t="s">
        <v>0</v>
      </c>
      <c r="K8" s="32" t="b">
        <v>0</v>
      </c>
    </row>
    <row r="9" spans="1:11">
      <c r="A9" s="25">
        <f t="shared" si="2"/>
        <v>8</v>
      </c>
      <c r="B9" s="26" t="s">
        <v>73</v>
      </c>
      <c r="C9" s="27">
        <v>2.5</v>
      </c>
      <c r="D9" s="11" t="s">
        <v>50</v>
      </c>
      <c r="E9" s="28">
        <v>10.5</v>
      </c>
      <c r="F9" s="29">
        <f t="shared" si="0"/>
        <v>0.6</v>
      </c>
      <c r="G9" s="25">
        <v>3.75</v>
      </c>
      <c r="H9" s="30">
        <f t="shared" si="1"/>
        <v>6.25</v>
      </c>
      <c r="I9" s="31" t="b">
        <v>0</v>
      </c>
      <c r="J9" s="32" t="b">
        <v>0</v>
      </c>
      <c r="K9" s="32" t="b">
        <v>0</v>
      </c>
    </row>
    <row r="10" spans="1:11">
      <c r="A10" s="25">
        <f t="shared" si="2"/>
        <v>9</v>
      </c>
      <c r="B10" s="26" t="s">
        <v>74</v>
      </c>
      <c r="C10" s="27">
        <v>1.75</v>
      </c>
      <c r="D10" s="11" t="s">
        <v>50</v>
      </c>
      <c r="E10" s="28">
        <v>8.25</v>
      </c>
      <c r="F10" s="29">
        <f t="shared" si="0"/>
        <v>0.58823529411764708</v>
      </c>
      <c r="G10" s="25">
        <v>2.5</v>
      </c>
      <c r="H10" s="30">
        <f t="shared" si="1"/>
        <v>4.25</v>
      </c>
      <c r="I10" s="31" t="b">
        <v>0</v>
      </c>
      <c r="J10" s="32" t="b">
        <v>0</v>
      </c>
      <c r="K10" s="32" t="b">
        <v>0</v>
      </c>
    </row>
    <row r="11" spans="1:11">
      <c r="A11" s="25">
        <f t="shared" si="2"/>
        <v>10</v>
      </c>
      <c r="B11" s="26" t="s">
        <v>75</v>
      </c>
      <c r="C11" s="27">
        <v>2</v>
      </c>
      <c r="D11" s="11" t="s">
        <v>50</v>
      </c>
      <c r="E11" s="28">
        <v>12</v>
      </c>
      <c r="F11" s="29">
        <f t="shared" si="0"/>
        <v>0.55555555555555558</v>
      </c>
      <c r="G11" s="25">
        <v>2.5</v>
      </c>
      <c r="H11" s="30">
        <f t="shared" si="1"/>
        <v>4.5</v>
      </c>
      <c r="I11" s="31" t="b">
        <v>0</v>
      </c>
      <c r="J11" s="32" t="s">
        <v>76</v>
      </c>
      <c r="K11" s="32" t="b">
        <v>0</v>
      </c>
    </row>
    <row r="12" spans="1:11">
      <c r="A12" s="25">
        <f t="shared" si="2"/>
        <v>11</v>
      </c>
      <c r="B12" s="26" t="s">
        <v>77</v>
      </c>
      <c r="C12" s="27">
        <v>1</v>
      </c>
      <c r="D12" s="11" t="s">
        <v>50</v>
      </c>
      <c r="E12" s="28" t="s">
        <v>50</v>
      </c>
      <c r="F12" s="29">
        <f t="shared" si="0"/>
        <v>0.6</v>
      </c>
      <c r="G12" s="25">
        <v>1.5</v>
      </c>
      <c r="H12" s="30">
        <f t="shared" si="1"/>
        <v>2.5</v>
      </c>
      <c r="I12" s="31" t="b">
        <v>0</v>
      </c>
      <c r="J12" s="32" t="b">
        <v>0</v>
      </c>
      <c r="K12" s="32" t="b">
        <v>0</v>
      </c>
    </row>
    <row r="13" spans="1:11">
      <c r="A13" s="25">
        <f t="shared" si="2"/>
        <v>12</v>
      </c>
      <c r="B13" s="26" t="s">
        <v>78</v>
      </c>
      <c r="C13" s="27">
        <v>1</v>
      </c>
      <c r="D13" s="11" t="s">
        <v>50</v>
      </c>
      <c r="E13" s="28" t="s">
        <v>50</v>
      </c>
      <c r="F13" s="29">
        <f t="shared" si="0"/>
        <v>0.6</v>
      </c>
      <c r="G13" s="25">
        <v>1.5</v>
      </c>
      <c r="H13" s="30">
        <f t="shared" si="1"/>
        <v>2.5</v>
      </c>
      <c r="I13" s="31" t="b">
        <v>0</v>
      </c>
      <c r="J13" s="32" t="b">
        <v>0</v>
      </c>
      <c r="K13" s="32" t="b">
        <v>0</v>
      </c>
    </row>
    <row r="14" spans="1:11" ht="15" thickBot="1">
      <c r="A14" s="8">
        <f t="shared" si="2"/>
        <v>13</v>
      </c>
      <c r="B14" s="33" t="s">
        <v>79</v>
      </c>
      <c r="C14" s="34">
        <v>0.5</v>
      </c>
      <c r="D14" s="35" t="s">
        <v>50</v>
      </c>
      <c r="E14" s="12" t="s">
        <v>50</v>
      </c>
      <c r="F14" s="13">
        <f t="shared" si="0"/>
        <v>0.5</v>
      </c>
      <c r="G14" s="8">
        <v>0.5</v>
      </c>
      <c r="H14" s="36">
        <f t="shared" si="1"/>
        <v>1</v>
      </c>
      <c r="I14" s="16" t="b">
        <v>0</v>
      </c>
      <c r="J14" s="17" t="b">
        <v>0</v>
      </c>
      <c r="K14" s="17" t="b">
        <v>0</v>
      </c>
    </row>
    <row r="15" spans="1:11" ht="15" thickBot="1">
      <c r="A15" s="37">
        <f t="shared" si="2"/>
        <v>14</v>
      </c>
      <c r="B15" s="38" t="s">
        <v>80</v>
      </c>
      <c r="C15" s="39" t="s">
        <v>10</v>
      </c>
      <c r="D15" s="35" t="s">
        <v>50</v>
      </c>
      <c r="E15" s="35" t="s">
        <v>50</v>
      </c>
      <c r="F15" s="40" t="str">
        <f t="shared" si="0"/>
        <v/>
      </c>
      <c r="G15" s="37"/>
      <c r="H15" s="41" t="str">
        <f t="shared" si="1"/>
        <v/>
      </c>
      <c r="I15" s="42" t="b">
        <v>1</v>
      </c>
      <c r="J15" s="43" t="b">
        <v>0</v>
      </c>
      <c r="K15" s="43" t="b">
        <v>0</v>
      </c>
    </row>
    <row r="16" spans="1:11" ht="15" thickBot="1">
      <c r="A16" s="37">
        <f t="shared" si="2"/>
        <v>15</v>
      </c>
      <c r="B16" s="38" t="s">
        <v>81</v>
      </c>
      <c r="C16" s="39">
        <v>1</v>
      </c>
      <c r="D16" s="44">
        <v>3</v>
      </c>
      <c r="E16" s="35" t="s">
        <v>50</v>
      </c>
      <c r="F16" s="40">
        <f t="shared" si="0"/>
        <v>0.5</v>
      </c>
      <c r="G16" s="37">
        <v>1</v>
      </c>
      <c r="H16" s="41">
        <f t="shared" si="1"/>
        <v>2</v>
      </c>
      <c r="I16" s="42" t="b">
        <v>0</v>
      </c>
      <c r="J16" s="43" t="b">
        <v>0</v>
      </c>
      <c r="K16" s="43" t="b">
        <v>0</v>
      </c>
    </row>
    <row r="17" spans="1:11">
      <c r="A17" s="18">
        <f t="shared" si="2"/>
        <v>16</v>
      </c>
      <c r="B17" s="19" t="s">
        <v>82</v>
      </c>
      <c r="C17" s="20">
        <v>2</v>
      </c>
      <c r="D17" s="11">
        <v>2</v>
      </c>
      <c r="E17" s="11">
        <v>13.5</v>
      </c>
      <c r="F17" s="21">
        <f t="shared" si="0"/>
        <v>0.66666666666666663</v>
      </c>
      <c r="G17" s="18">
        <v>4</v>
      </c>
      <c r="H17" s="22">
        <f t="shared" si="1"/>
        <v>6</v>
      </c>
      <c r="I17" s="23" t="b">
        <v>0</v>
      </c>
      <c r="J17" s="24" t="b">
        <v>0</v>
      </c>
      <c r="K17" s="24" t="b">
        <v>0</v>
      </c>
    </row>
    <row r="18" spans="1:11">
      <c r="A18" s="25">
        <f t="shared" si="2"/>
        <v>17</v>
      </c>
      <c r="B18" s="26" t="s">
        <v>70</v>
      </c>
      <c r="C18" s="27">
        <v>1</v>
      </c>
      <c r="D18" s="28">
        <v>2</v>
      </c>
      <c r="E18" s="28">
        <v>13.5</v>
      </c>
      <c r="F18" s="29">
        <f t="shared" si="0"/>
        <v>0.66666666666666663</v>
      </c>
      <c r="G18" s="25">
        <v>2</v>
      </c>
      <c r="H18" s="30">
        <f t="shared" si="1"/>
        <v>3</v>
      </c>
      <c r="I18" s="31" t="b">
        <v>0</v>
      </c>
      <c r="J18" s="32" t="b">
        <v>0</v>
      </c>
      <c r="K18" s="32" t="b">
        <v>0</v>
      </c>
    </row>
    <row r="19" spans="1:11">
      <c r="A19" s="25">
        <f t="shared" si="2"/>
        <v>18</v>
      </c>
      <c r="B19" s="26" t="s">
        <v>83</v>
      </c>
      <c r="C19" s="27">
        <v>2</v>
      </c>
      <c r="D19" s="11" t="s">
        <v>50</v>
      </c>
      <c r="E19" s="28">
        <v>12</v>
      </c>
      <c r="F19" s="29">
        <f t="shared" si="0"/>
        <v>0.42857142857142855</v>
      </c>
      <c r="G19" s="25">
        <v>1.5</v>
      </c>
      <c r="H19" s="30">
        <f t="shared" si="1"/>
        <v>3.5</v>
      </c>
      <c r="I19" s="31" t="b">
        <v>0</v>
      </c>
      <c r="J19" s="32" t="b">
        <v>0</v>
      </c>
      <c r="K19" s="32" t="b">
        <v>0</v>
      </c>
    </row>
    <row r="20" spans="1:11">
      <c r="A20" s="25">
        <f t="shared" si="2"/>
        <v>19</v>
      </c>
      <c r="B20" s="26" t="s">
        <v>84</v>
      </c>
      <c r="C20" s="27">
        <v>3</v>
      </c>
      <c r="D20" s="11" t="s">
        <v>50</v>
      </c>
      <c r="E20" s="28">
        <v>12</v>
      </c>
      <c r="F20" s="29">
        <f t="shared" si="0"/>
        <v>0.4</v>
      </c>
      <c r="G20" s="25">
        <v>2</v>
      </c>
      <c r="H20" s="30">
        <f t="shared" si="1"/>
        <v>5</v>
      </c>
      <c r="I20" s="31" t="b">
        <v>0</v>
      </c>
      <c r="J20" s="32" t="b">
        <v>0</v>
      </c>
      <c r="K20" s="32" t="s">
        <v>0</v>
      </c>
    </row>
    <row r="21" spans="1:11">
      <c r="A21" s="25">
        <f t="shared" si="2"/>
        <v>20</v>
      </c>
      <c r="B21" s="26" t="s">
        <v>85</v>
      </c>
      <c r="C21" s="27">
        <v>1</v>
      </c>
      <c r="D21" s="11" t="s">
        <v>50</v>
      </c>
      <c r="E21" s="28">
        <v>10.5</v>
      </c>
      <c r="F21" s="29">
        <f t="shared" si="0"/>
        <v>0.83333333333333337</v>
      </c>
      <c r="G21" s="25">
        <v>5</v>
      </c>
      <c r="H21" s="30">
        <f t="shared" si="1"/>
        <v>6</v>
      </c>
      <c r="I21" s="31" t="b">
        <v>0</v>
      </c>
      <c r="J21" s="32" t="b">
        <v>0</v>
      </c>
      <c r="K21" s="32" t="b">
        <v>0</v>
      </c>
    </row>
    <row r="22" spans="1:11">
      <c r="A22" s="25">
        <f t="shared" si="2"/>
        <v>21</v>
      </c>
      <c r="B22" s="26" t="s">
        <v>86</v>
      </c>
      <c r="C22" s="27">
        <v>1</v>
      </c>
      <c r="D22" s="11" t="s">
        <v>50</v>
      </c>
      <c r="E22" s="28">
        <v>12</v>
      </c>
      <c r="F22" s="29">
        <f t="shared" si="0"/>
        <v>0.5</v>
      </c>
      <c r="G22" s="25">
        <v>1</v>
      </c>
      <c r="H22" s="30">
        <f t="shared" si="1"/>
        <v>2</v>
      </c>
      <c r="I22" s="31" t="b">
        <v>0</v>
      </c>
      <c r="J22" s="32" t="b">
        <v>0</v>
      </c>
      <c r="K22" s="32" t="b">
        <v>0</v>
      </c>
    </row>
    <row r="23" spans="1:11">
      <c r="A23" s="25">
        <f t="shared" si="2"/>
        <v>22</v>
      </c>
      <c r="B23" s="26" t="s">
        <v>87</v>
      </c>
      <c r="C23" s="27">
        <v>1</v>
      </c>
      <c r="D23" s="11" t="s">
        <v>50</v>
      </c>
      <c r="E23" s="28">
        <v>12</v>
      </c>
      <c r="F23" s="29">
        <f t="shared" si="0"/>
        <v>0.5</v>
      </c>
      <c r="G23" s="25">
        <v>1</v>
      </c>
      <c r="H23" s="30">
        <f t="shared" si="1"/>
        <v>2</v>
      </c>
      <c r="I23" s="31" t="b">
        <v>0</v>
      </c>
      <c r="J23" s="32" t="b">
        <v>0</v>
      </c>
      <c r="K23" s="32" t="b">
        <v>0</v>
      </c>
    </row>
    <row r="24" spans="1:11">
      <c r="A24" s="25">
        <f t="shared" si="2"/>
        <v>23</v>
      </c>
      <c r="B24" s="26" t="s">
        <v>88</v>
      </c>
      <c r="C24" s="27">
        <v>2.5</v>
      </c>
      <c r="D24" s="11" t="s">
        <v>50</v>
      </c>
      <c r="E24" s="28">
        <v>10.5</v>
      </c>
      <c r="F24" s="29">
        <f t="shared" si="0"/>
        <v>0.61538461538461542</v>
      </c>
      <c r="G24" s="25">
        <v>4</v>
      </c>
      <c r="H24" s="30">
        <f t="shared" si="1"/>
        <v>6.5</v>
      </c>
      <c r="I24" s="31" t="b">
        <v>0</v>
      </c>
      <c r="J24" s="32" t="b">
        <v>0</v>
      </c>
      <c r="K24" s="32" t="b">
        <v>0</v>
      </c>
    </row>
    <row r="25" spans="1:11">
      <c r="A25" s="25">
        <f t="shared" si="2"/>
        <v>24</v>
      </c>
      <c r="B25" s="26" t="s">
        <v>89</v>
      </c>
      <c r="C25" s="27">
        <v>1</v>
      </c>
      <c r="D25" s="11" t="s">
        <v>50</v>
      </c>
      <c r="E25" s="28">
        <v>12</v>
      </c>
      <c r="F25" s="29">
        <f t="shared" si="0"/>
        <v>0.5</v>
      </c>
      <c r="G25" s="25">
        <v>1</v>
      </c>
      <c r="H25" s="30">
        <f t="shared" si="1"/>
        <v>2</v>
      </c>
      <c r="I25" s="31" t="b">
        <v>0</v>
      </c>
      <c r="J25" s="32" t="b">
        <v>0</v>
      </c>
      <c r="K25" s="32" t="b">
        <v>0</v>
      </c>
    </row>
    <row r="26" spans="1:11">
      <c r="A26" s="25">
        <f t="shared" si="2"/>
        <v>25</v>
      </c>
      <c r="B26" s="26" t="s">
        <v>90</v>
      </c>
      <c r="C26" s="27">
        <v>1</v>
      </c>
      <c r="D26" s="11" t="s">
        <v>50</v>
      </c>
      <c r="E26" s="28">
        <v>10.5</v>
      </c>
      <c r="F26" s="29">
        <f t="shared" si="0"/>
        <v>0.5</v>
      </c>
      <c r="G26" s="25">
        <v>1</v>
      </c>
      <c r="H26" s="30">
        <f t="shared" si="1"/>
        <v>2</v>
      </c>
      <c r="I26" s="31" t="b">
        <v>0</v>
      </c>
      <c r="J26" s="32" t="b">
        <v>0</v>
      </c>
      <c r="K26" s="32" t="b">
        <v>0</v>
      </c>
    </row>
    <row r="27" spans="1:11">
      <c r="A27" s="25">
        <f t="shared" si="2"/>
        <v>26</v>
      </c>
      <c r="B27" s="45" t="s">
        <v>91</v>
      </c>
      <c r="C27" s="27">
        <v>2.5</v>
      </c>
      <c r="D27" s="11" t="s">
        <v>50</v>
      </c>
      <c r="E27" s="28">
        <v>8.25</v>
      </c>
      <c r="F27" s="29">
        <f t="shared" si="0"/>
        <v>0.6</v>
      </c>
      <c r="G27" s="25">
        <v>3.75</v>
      </c>
      <c r="H27" s="30">
        <f t="shared" si="1"/>
        <v>6.25</v>
      </c>
      <c r="I27" s="31" t="b">
        <v>0</v>
      </c>
      <c r="J27" s="32" t="b">
        <v>0</v>
      </c>
      <c r="K27" s="32" t="b">
        <v>0</v>
      </c>
    </row>
    <row r="28" spans="1:11">
      <c r="A28" s="25">
        <f t="shared" si="2"/>
        <v>27</v>
      </c>
      <c r="B28" s="45" t="s">
        <v>92</v>
      </c>
      <c r="C28" s="27">
        <v>2.5</v>
      </c>
      <c r="D28" s="11" t="s">
        <v>50</v>
      </c>
      <c r="E28" s="28">
        <v>8.25</v>
      </c>
      <c r="F28" s="29">
        <f t="shared" si="0"/>
        <v>0.6</v>
      </c>
      <c r="G28" s="25">
        <v>3.75</v>
      </c>
      <c r="H28" s="30">
        <f t="shared" si="1"/>
        <v>6.25</v>
      </c>
      <c r="I28" s="31" t="b">
        <v>0</v>
      </c>
      <c r="J28" s="32" t="b">
        <v>0</v>
      </c>
      <c r="K28" s="32" t="b">
        <v>0</v>
      </c>
    </row>
    <row r="29" spans="1:11">
      <c r="A29" s="25">
        <f t="shared" si="2"/>
        <v>28</v>
      </c>
      <c r="B29" s="45" t="s">
        <v>93</v>
      </c>
      <c r="C29" s="27">
        <v>2.5</v>
      </c>
      <c r="D29" s="11" t="s">
        <v>50</v>
      </c>
      <c r="E29" s="28">
        <v>8.25</v>
      </c>
      <c r="F29" s="29">
        <f t="shared" si="0"/>
        <v>0.6</v>
      </c>
      <c r="G29" s="25">
        <v>3.75</v>
      </c>
      <c r="H29" s="30">
        <f t="shared" si="1"/>
        <v>6.25</v>
      </c>
      <c r="I29" s="31" t="b">
        <v>0</v>
      </c>
      <c r="J29" s="32" t="b">
        <v>0</v>
      </c>
      <c r="K29" s="32" t="b">
        <v>0</v>
      </c>
    </row>
    <row r="30" spans="1:11">
      <c r="A30" s="25">
        <f t="shared" si="2"/>
        <v>29</v>
      </c>
      <c r="B30" s="45" t="s">
        <v>94</v>
      </c>
      <c r="C30" s="27">
        <v>3</v>
      </c>
      <c r="D30" s="11" t="s">
        <v>50</v>
      </c>
      <c r="E30" s="46">
        <v>10.5</v>
      </c>
      <c r="F30" s="29">
        <f t="shared" si="0"/>
        <v>0.5</v>
      </c>
      <c r="G30" s="25">
        <v>3</v>
      </c>
      <c r="H30" s="30">
        <f t="shared" si="1"/>
        <v>6</v>
      </c>
      <c r="I30" s="31" t="b">
        <v>0</v>
      </c>
      <c r="J30" s="32" t="b">
        <v>0</v>
      </c>
      <c r="K30" s="32" t="b">
        <v>0</v>
      </c>
    </row>
    <row r="31" spans="1:11">
      <c r="A31" s="25">
        <f t="shared" si="2"/>
        <v>30</v>
      </c>
      <c r="B31" s="45" t="s">
        <v>95</v>
      </c>
      <c r="C31" s="27">
        <v>1</v>
      </c>
      <c r="D31" s="11" t="s">
        <v>50</v>
      </c>
      <c r="E31" s="46">
        <v>13.5</v>
      </c>
      <c r="F31" s="29">
        <f t="shared" si="0"/>
        <v>0.66666666666666663</v>
      </c>
      <c r="G31" s="25">
        <v>2</v>
      </c>
      <c r="H31" s="30">
        <f t="shared" si="1"/>
        <v>3</v>
      </c>
      <c r="I31" s="31" t="b">
        <v>0</v>
      </c>
      <c r="J31" s="32" t="b">
        <v>0</v>
      </c>
      <c r="K31" s="32" t="b">
        <v>0</v>
      </c>
    </row>
    <row r="32" spans="1:11">
      <c r="A32" s="25">
        <f t="shared" si="2"/>
        <v>31</v>
      </c>
      <c r="B32" s="45" t="s">
        <v>77</v>
      </c>
      <c r="C32" s="27">
        <v>1</v>
      </c>
      <c r="D32" s="11" t="s">
        <v>50</v>
      </c>
      <c r="E32" s="46">
        <v>13.5</v>
      </c>
      <c r="F32" s="29">
        <f t="shared" si="0"/>
        <v>0.66666666666666663</v>
      </c>
      <c r="G32" s="25">
        <v>2</v>
      </c>
      <c r="H32" s="30">
        <f t="shared" si="1"/>
        <v>3</v>
      </c>
      <c r="I32" s="31" t="b">
        <v>0</v>
      </c>
      <c r="J32" s="32" t="b">
        <v>0</v>
      </c>
      <c r="K32" s="32" t="b">
        <v>0</v>
      </c>
    </row>
    <row r="33" spans="1:11">
      <c r="A33" s="25">
        <f t="shared" si="2"/>
        <v>32</v>
      </c>
      <c r="B33" s="45" t="s">
        <v>96</v>
      </c>
      <c r="C33" s="27">
        <v>1</v>
      </c>
      <c r="D33" s="11" t="s">
        <v>50</v>
      </c>
      <c r="E33" s="46">
        <v>13.5</v>
      </c>
      <c r="F33" s="29">
        <f t="shared" si="0"/>
        <v>0.66666666666666663</v>
      </c>
      <c r="G33" s="25">
        <v>2</v>
      </c>
      <c r="H33" s="30">
        <f t="shared" si="1"/>
        <v>3</v>
      </c>
      <c r="I33" s="31" t="b">
        <v>0</v>
      </c>
      <c r="J33" s="32" t="b">
        <v>0</v>
      </c>
      <c r="K33" s="32" t="b">
        <v>0</v>
      </c>
    </row>
    <row r="34" spans="1:11" ht="15" thickBot="1">
      <c r="A34" s="8">
        <f t="shared" si="2"/>
        <v>33</v>
      </c>
      <c r="B34" s="47" t="s">
        <v>97</v>
      </c>
      <c r="C34" s="48">
        <v>0.5</v>
      </c>
      <c r="D34" s="35" t="s">
        <v>50</v>
      </c>
      <c r="E34" s="49">
        <v>13.5</v>
      </c>
      <c r="F34" s="13">
        <f t="shared" si="0"/>
        <v>0.5</v>
      </c>
      <c r="G34" s="8">
        <v>0.5</v>
      </c>
      <c r="H34" s="30">
        <f t="shared" si="1"/>
        <v>1</v>
      </c>
      <c r="I34" s="16" t="b">
        <v>0</v>
      </c>
      <c r="J34" s="17" t="b">
        <v>0</v>
      </c>
      <c r="K34" s="17" t="b">
        <v>0</v>
      </c>
    </row>
    <row r="35" spans="1:11" ht="15" thickBot="1">
      <c r="A35" s="18">
        <f t="shared" si="2"/>
        <v>34</v>
      </c>
      <c r="B35" s="50" t="s">
        <v>98</v>
      </c>
      <c r="C35" s="20">
        <v>0.5</v>
      </c>
      <c r="D35" s="51">
        <v>3</v>
      </c>
      <c r="E35" s="51" t="s">
        <v>50</v>
      </c>
      <c r="F35" s="21">
        <f t="shared" si="0"/>
        <v>0.5</v>
      </c>
      <c r="G35" s="18">
        <v>0.5</v>
      </c>
      <c r="H35" s="30">
        <f t="shared" si="1"/>
        <v>1</v>
      </c>
      <c r="I35" s="16" t="b">
        <v>0</v>
      </c>
      <c r="J35" s="17" t="b">
        <v>0</v>
      </c>
      <c r="K35" s="17" t="s">
        <v>1</v>
      </c>
    </row>
  </sheetData>
  <conditionalFormatting sqref="I1:K35">
    <cfRule type="expression" dxfId="5" priority="1">
      <formula>I1 &lt;&gt; FALSE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2BB4-2702-45D4-BB76-442A270FBD5F}">
  <dimension ref="A1:K12"/>
  <sheetViews>
    <sheetView workbookViewId="0">
      <selection sqref="A1:XFD1048576"/>
    </sheetView>
  </sheetViews>
  <sheetFormatPr defaultRowHeight="14.45"/>
  <cols>
    <col min="1" max="1" width="8.140625" customWidth="1"/>
    <col min="2" max="2" width="66" customWidth="1"/>
    <col min="3" max="11" width="18.42578125" customWidth="1"/>
  </cols>
  <sheetData>
    <row r="1" spans="1:11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>
      <c r="A2">
        <v>1</v>
      </c>
      <c r="B2" t="s">
        <v>13</v>
      </c>
      <c r="C2" t="s">
        <v>14</v>
      </c>
      <c r="D2">
        <v>4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>
      <c r="A3">
        <v>2</v>
      </c>
      <c r="B3" t="s">
        <v>15</v>
      </c>
      <c r="C3">
        <v>1</v>
      </c>
      <c r="D3">
        <v>1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11">
      <c r="A4">
        <v>3</v>
      </c>
      <c r="B4" t="s">
        <v>17</v>
      </c>
      <c r="C4">
        <v>8</v>
      </c>
      <c r="D4">
        <v>1.5</v>
      </c>
      <c r="E4">
        <v>11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11">
      <c r="A5">
        <v>4</v>
      </c>
      <c r="B5" t="s">
        <v>18</v>
      </c>
      <c r="C5">
        <v>3</v>
      </c>
      <c r="D5">
        <v>1</v>
      </c>
      <c r="E5">
        <v>11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11">
      <c r="A6">
        <v>5</v>
      </c>
      <c r="B6" t="s">
        <v>19</v>
      </c>
      <c r="C6" t="s">
        <v>14</v>
      </c>
      <c r="D6">
        <v>4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</row>
    <row r="7" spans="1:11">
      <c r="A7">
        <v>6</v>
      </c>
      <c r="B7" t="s">
        <v>20</v>
      </c>
      <c r="C7">
        <v>2</v>
      </c>
      <c r="D7">
        <v>2.5</v>
      </c>
      <c r="E7">
        <v>14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1</v>
      </c>
    </row>
    <row r="8" spans="1:11">
      <c r="A8">
        <v>7</v>
      </c>
      <c r="B8" t="s">
        <v>62</v>
      </c>
      <c r="C8">
        <v>6</v>
      </c>
      <c r="D8">
        <v>1.5</v>
      </c>
      <c r="E8">
        <v>11</v>
      </c>
      <c r="F8" s="57">
        <f t="shared" si="0"/>
        <v>0.5</v>
      </c>
      <c r="G8" s="56">
        <f t="shared" si="1"/>
        <v>3</v>
      </c>
      <c r="H8" s="56">
        <f t="shared" si="2"/>
        <v>9</v>
      </c>
      <c r="I8" s="55" t="s">
        <v>16</v>
      </c>
      <c r="J8" s="55" t="b">
        <v>0</v>
      </c>
      <c r="K8" s="55" t="b">
        <v>0</v>
      </c>
    </row>
    <row r="9" spans="1:11">
      <c r="A9">
        <v>8</v>
      </c>
      <c r="B9" t="s">
        <v>22</v>
      </c>
      <c r="C9">
        <v>4</v>
      </c>
      <c r="D9">
        <v>1.5</v>
      </c>
      <c r="E9">
        <v>11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</row>
    <row r="10" spans="1:11" ht="29.1">
      <c r="A10">
        <v>9</v>
      </c>
      <c r="B10" s="54" t="s">
        <v>23</v>
      </c>
      <c r="C10">
        <v>10</v>
      </c>
      <c r="D10">
        <v>2</v>
      </c>
      <c r="E10">
        <v>11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</row>
    <row r="11" spans="1:11">
      <c r="A11">
        <v>10</v>
      </c>
      <c r="B11" t="s">
        <v>24</v>
      </c>
      <c r="C11">
        <v>2</v>
      </c>
      <c r="D11">
        <v>2</v>
      </c>
      <c r="E11">
        <v>11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</row>
    <row r="12" spans="1:11" ht="15" thickBot="1">
      <c r="A12" s="58">
        <v>11</v>
      </c>
      <c r="B12" s="58" t="s">
        <v>25</v>
      </c>
      <c r="C12" s="58">
        <v>1</v>
      </c>
      <c r="D12" s="58">
        <v>4</v>
      </c>
      <c r="E12" s="58">
        <v>14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</row>
  </sheetData>
  <conditionalFormatting sqref="I1:K1">
    <cfRule type="expression" dxfId="4" priority="2">
      <formula>I1 &lt;&gt; FALSE</formula>
    </cfRule>
  </conditionalFormatting>
  <conditionalFormatting sqref="I2:K12">
    <cfRule type="expression" dxfId="3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976ACE-604F-4FC9-B7BC-134DC34587F9}">
          <x14:formula1>
            <xm:f>'Read Me'!$D$6:$D$7</xm:f>
          </x14:formula1>
          <xm:sqref>I2:I12</xm:sqref>
        </x14:dataValidation>
        <x14:dataValidation type="list" allowBlank="1" showInputMessage="1" showErrorMessage="1" xr:uid="{19A11316-E25A-44D4-BFA3-E096AA06702F}">
          <x14:formula1>
            <xm:f>'Read Me'!$E$6:$E$8</xm:f>
          </x14:formula1>
          <xm:sqref>J2:K12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B208-57B5-4C9E-8854-ACE9961850DD}">
  <dimension ref="A1:K9"/>
  <sheetViews>
    <sheetView workbookViewId="0">
      <selection sqref="A1:XFD1048576"/>
    </sheetView>
  </sheetViews>
  <sheetFormatPr defaultRowHeight="14.45"/>
  <cols>
    <col min="1" max="1" width="8.140625" customWidth="1"/>
    <col min="2" max="2" width="103.28515625" bestFit="1" customWidth="1"/>
    <col min="3" max="11" width="18.42578125" customWidth="1"/>
  </cols>
  <sheetData>
    <row r="1" spans="1:11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>
      <c r="A2">
        <v>1</v>
      </c>
      <c r="B2" t="s">
        <v>19</v>
      </c>
      <c r="C2" t="s">
        <v>14</v>
      </c>
      <c r="D2">
        <v>4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>
      <c r="A3">
        <v>2</v>
      </c>
      <c r="B3" t="s">
        <v>26</v>
      </c>
      <c r="C3">
        <v>3</v>
      </c>
      <c r="D3">
        <v>2.5</v>
      </c>
      <c r="E3">
        <v>14</v>
      </c>
      <c r="F3" s="57">
        <v>0.2</v>
      </c>
      <c r="G3" s="56">
        <f t="shared" si="1"/>
        <v>0.60000000000000009</v>
      </c>
      <c r="H3" s="56">
        <f t="shared" si="2"/>
        <v>3.5999999999999996</v>
      </c>
      <c r="I3" s="55" t="s">
        <v>16</v>
      </c>
      <c r="J3" s="55" t="b">
        <v>0</v>
      </c>
      <c r="K3" s="55" t="s">
        <v>0</v>
      </c>
    </row>
    <row r="4" spans="1:11">
      <c r="A4">
        <v>3</v>
      </c>
      <c r="B4" t="s">
        <v>27</v>
      </c>
      <c r="C4">
        <v>4</v>
      </c>
      <c r="D4">
        <v>1.5</v>
      </c>
      <c r="E4">
        <v>11</v>
      </c>
      <c r="F4" s="57">
        <v>0.2</v>
      </c>
      <c r="G4" s="56">
        <f t="shared" si="1"/>
        <v>0.8</v>
      </c>
      <c r="H4" s="56">
        <f t="shared" si="2"/>
        <v>4.8</v>
      </c>
      <c r="I4" s="55" t="s">
        <v>16</v>
      </c>
      <c r="J4" s="55" t="b">
        <v>0</v>
      </c>
      <c r="K4" s="55" t="b">
        <v>0</v>
      </c>
    </row>
    <row r="5" spans="1:11">
      <c r="A5">
        <v>4</v>
      </c>
      <c r="B5" t="s">
        <v>28</v>
      </c>
      <c r="C5">
        <v>6</v>
      </c>
      <c r="D5">
        <v>1.5</v>
      </c>
      <c r="E5">
        <v>11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>
      <c r="A6">
        <v>5</v>
      </c>
      <c r="B6" t="s">
        <v>29</v>
      </c>
      <c r="C6">
        <v>14</v>
      </c>
      <c r="D6">
        <v>2</v>
      </c>
      <c r="E6">
        <v>11</v>
      </c>
      <c r="F6" s="57">
        <v>0.2</v>
      </c>
      <c r="G6" s="56">
        <f t="shared" si="1"/>
        <v>2.8000000000000003</v>
      </c>
      <c r="H6" s="56">
        <f t="shared" si="2"/>
        <v>16.8</v>
      </c>
      <c r="I6" s="55" t="s">
        <v>16</v>
      </c>
      <c r="J6" s="55" t="b">
        <v>0</v>
      </c>
      <c r="K6" s="55" t="b">
        <v>0</v>
      </c>
    </row>
    <row r="7" spans="1:11">
      <c r="A7">
        <v>6</v>
      </c>
      <c r="B7" t="s">
        <v>30</v>
      </c>
      <c r="C7">
        <v>6</v>
      </c>
      <c r="D7">
        <v>2</v>
      </c>
      <c r="E7">
        <v>11</v>
      </c>
      <c r="F7" s="57">
        <v>0.2</v>
      </c>
      <c r="G7" s="56">
        <f t="shared" si="1"/>
        <v>1.2000000000000002</v>
      </c>
      <c r="H7" s="56">
        <f t="shared" si="2"/>
        <v>7.1999999999999993</v>
      </c>
      <c r="I7" s="55" t="s">
        <v>16</v>
      </c>
      <c r="J7" s="55" t="b">
        <v>0</v>
      </c>
      <c r="K7" s="55" t="b">
        <v>0</v>
      </c>
    </row>
    <row r="8" spans="1:11">
      <c r="A8">
        <v>7</v>
      </c>
      <c r="B8" t="s">
        <v>31</v>
      </c>
      <c r="C8">
        <v>4</v>
      </c>
      <c r="D8">
        <v>4</v>
      </c>
      <c r="E8">
        <v>14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>
      <c r="A9" s="58">
        <v>8</v>
      </c>
      <c r="B9" s="58" t="s">
        <v>32</v>
      </c>
      <c r="C9" s="58">
        <v>2</v>
      </c>
      <c r="D9" s="58">
        <v>4</v>
      </c>
      <c r="E9" s="58">
        <v>18</v>
      </c>
      <c r="F9" s="59">
        <v>0.2</v>
      </c>
      <c r="G9" s="60">
        <f t="shared" si="1"/>
        <v>0.4</v>
      </c>
      <c r="H9" s="60">
        <f t="shared" si="2"/>
        <v>2.4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2" priority="2">
      <formula>I1 &lt;&gt; FALSE</formula>
    </cfRule>
  </conditionalFormatting>
  <conditionalFormatting sqref="I2:K9">
    <cfRule type="expression" dxfId="1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20E8E-2FD8-4FD5-92B2-0F09C99E3594}">
          <x14:formula1>
            <xm:f>'Read Me'!$E$6:$E$8</xm:f>
          </x14:formula1>
          <xm:sqref>J2:K9</xm:sqref>
        </x14:dataValidation>
        <x14:dataValidation type="list" allowBlank="1" showInputMessage="1" showErrorMessage="1" xr:uid="{028ECF4C-940B-4464-B5A5-D71A3A10800E}">
          <x14:formula1>
            <xm:f>'Read Me'!$D$6:$D$7</xm:f>
          </x14:formula1>
          <xm:sqref>I2:I9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45E9-CF64-4414-AD08-FCEE8FBC18B7}">
  <dimension ref="A1:K30"/>
  <sheetViews>
    <sheetView workbookViewId="0">
      <selection sqref="A1:K1"/>
    </sheetView>
  </sheetViews>
  <sheetFormatPr defaultRowHeight="14.45"/>
  <cols>
    <col min="1" max="1" width="2.85546875" bestFit="1" customWidth="1"/>
    <col min="2" max="2" width="62.5703125" bestFit="1" customWidth="1"/>
    <col min="3" max="3" width="12.85546875" bestFit="1" customWidth="1"/>
    <col min="4" max="4" width="15.85546875" bestFit="1" customWidth="1"/>
    <col min="5" max="5" width="16.140625" bestFit="1" customWidth="1"/>
    <col min="6" max="6" width="9.5703125" bestFit="1" customWidth="1"/>
    <col min="7" max="7" width="7.42578125" bestFit="1" customWidth="1"/>
    <col min="8" max="8" width="7.140625" bestFit="1" customWidth="1"/>
    <col min="9" max="9" width="6.85546875" bestFit="1" customWidth="1"/>
    <col min="10" max="10" width="8" bestFit="1" customWidth="1"/>
    <col min="11" max="11" width="10.5703125" bestFit="1" customWidth="1"/>
  </cols>
  <sheetData>
    <row r="1" spans="1:11" ht="15" thickBot="1">
      <c r="A1" s="66" t="s">
        <v>2</v>
      </c>
      <c r="B1" s="67" t="s">
        <v>33</v>
      </c>
      <c r="C1" s="68" t="s">
        <v>4</v>
      </c>
      <c r="D1" s="67" t="s">
        <v>5</v>
      </c>
      <c r="E1" s="67" t="s">
        <v>6</v>
      </c>
      <c r="F1" s="69" t="s">
        <v>7</v>
      </c>
      <c r="G1" s="69" t="s">
        <v>8</v>
      </c>
      <c r="H1" s="70" t="s">
        <v>9</v>
      </c>
      <c r="I1" s="71" t="s">
        <v>10</v>
      </c>
      <c r="J1" s="72" t="s">
        <v>11</v>
      </c>
      <c r="K1" s="73" t="s">
        <v>12</v>
      </c>
    </row>
    <row r="2" spans="1:11" ht="15" thickBot="1">
      <c r="A2" s="37">
        <v>1</v>
      </c>
      <c r="B2" s="62" t="s">
        <v>65</v>
      </c>
      <c r="C2" s="63" t="s">
        <v>66</v>
      </c>
      <c r="D2" s="11" t="s">
        <v>50</v>
      </c>
      <c r="E2" s="35" t="s">
        <v>50</v>
      </c>
      <c r="F2" s="40" t="str">
        <f>IFERROR((H2-C2)/H2, "")</f>
        <v/>
      </c>
      <c r="G2" s="64"/>
      <c r="H2" s="65"/>
      <c r="I2" s="42" t="b">
        <v>1</v>
      </c>
      <c r="J2" s="43" t="b">
        <v>0</v>
      </c>
      <c r="K2" s="43" t="b">
        <v>0</v>
      </c>
    </row>
    <row r="3" spans="1:11">
      <c r="A3" s="18">
        <f>A2+1</f>
        <v>2</v>
      </c>
      <c r="B3" s="19" t="s">
        <v>67</v>
      </c>
      <c r="C3" s="20">
        <v>0.75</v>
      </c>
      <c r="D3" s="11" t="s">
        <v>50</v>
      </c>
      <c r="E3" s="11" t="s">
        <v>50</v>
      </c>
      <c r="F3" s="21">
        <f t="shared" ref="F3:F30" si="0">IFERROR((H3-C3)/H3, "")</f>
        <v>0.5714285714285714</v>
      </c>
      <c r="G3" s="18">
        <v>1</v>
      </c>
      <c r="H3" s="22">
        <f>IFERROR(C3+G3,"")</f>
        <v>1.75</v>
      </c>
      <c r="I3" s="23" t="b">
        <v>0</v>
      </c>
      <c r="J3" s="24" t="b">
        <v>0</v>
      </c>
      <c r="K3" s="24" t="b">
        <v>0</v>
      </c>
    </row>
    <row r="4" spans="1:11">
      <c r="A4" s="25">
        <f>A3+1</f>
        <v>3</v>
      </c>
      <c r="B4" s="26" t="s">
        <v>99</v>
      </c>
      <c r="C4" s="27">
        <v>0.75</v>
      </c>
      <c r="D4" s="11" t="s">
        <v>50</v>
      </c>
      <c r="E4" s="28" t="s">
        <v>50</v>
      </c>
      <c r="F4" s="29">
        <f t="shared" si="0"/>
        <v>0.5714285714285714</v>
      </c>
      <c r="G4" s="25">
        <v>1</v>
      </c>
      <c r="H4" s="30">
        <f t="shared" ref="H4:H30" si="1">IFERROR(C4+G4,"")</f>
        <v>1.75</v>
      </c>
      <c r="I4" s="31" t="b">
        <v>0</v>
      </c>
      <c r="J4" s="32" t="b">
        <v>0</v>
      </c>
      <c r="K4" s="32" t="b">
        <v>0</v>
      </c>
    </row>
    <row r="5" spans="1:11">
      <c r="A5" s="25">
        <f t="shared" ref="A5:A30" si="2">A4+1</f>
        <v>4</v>
      </c>
      <c r="B5" s="26" t="s">
        <v>69</v>
      </c>
      <c r="C5" s="27">
        <v>0.75</v>
      </c>
      <c r="D5" s="11" t="s">
        <v>50</v>
      </c>
      <c r="E5" s="28" t="s">
        <v>50</v>
      </c>
      <c r="F5" s="29">
        <f t="shared" si="0"/>
        <v>0.5714285714285714</v>
      </c>
      <c r="G5" s="25">
        <v>1</v>
      </c>
      <c r="H5" s="30">
        <f t="shared" si="1"/>
        <v>1.75</v>
      </c>
      <c r="I5" s="31" t="b">
        <v>0</v>
      </c>
      <c r="J5" s="32" t="b">
        <v>0</v>
      </c>
      <c r="K5" s="32" t="b">
        <v>0</v>
      </c>
    </row>
    <row r="6" spans="1:11">
      <c r="A6" s="25">
        <f t="shared" si="2"/>
        <v>5</v>
      </c>
      <c r="B6" s="26" t="s">
        <v>70</v>
      </c>
      <c r="C6" s="27">
        <v>0.75</v>
      </c>
      <c r="D6" s="11" t="s">
        <v>50</v>
      </c>
      <c r="E6" s="28" t="s">
        <v>50</v>
      </c>
      <c r="F6" s="29">
        <f t="shared" si="0"/>
        <v>0.5714285714285714</v>
      </c>
      <c r="G6" s="25">
        <v>1</v>
      </c>
      <c r="H6" s="30">
        <f t="shared" si="1"/>
        <v>1.75</v>
      </c>
      <c r="I6" s="31" t="b">
        <v>0</v>
      </c>
      <c r="J6" s="32" t="b">
        <v>0</v>
      </c>
      <c r="K6" s="32" t="b">
        <v>0</v>
      </c>
    </row>
    <row r="7" spans="1:11">
      <c r="A7" s="25">
        <f t="shared" si="2"/>
        <v>6</v>
      </c>
      <c r="B7" s="26" t="s">
        <v>71</v>
      </c>
      <c r="C7" s="27">
        <v>2</v>
      </c>
      <c r="D7" s="11" t="s">
        <v>50</v>
      </c>
      <c r="E7" s="28">
        <v>14</v>
      </c>
      <c r="F7" s="29">
        <f t="shared" si="0"/>
        <v>0.6</v>
      </c>
      <c r="G7" s="25">
        <v>3</v>
      </c>
      <c r="H7" s="30">
        <f t="shared" si="1"/>
        <v>5</v>
      </c>
      <c r="I7" s="31" t="b">
        <v>0</v>
      </c>
      <c r="J7" s="32" t="b">
        <v>0</v>
      </c>
      <c r="K7" s="32" t="b">
        <v>0</v>
      </c>
    </row>
    <row r="8" spans="1:11">
      <c r="A8" s="25">
        <f t="shared" si="2"/>
        <v>7</v>
      </c>
      <c r="B8" s="26" t="s">
        <v>72</v>
      </c>
      <c r="C8" s="27">
        <v>2.5</v>
      </c>
      <c r="D8" s="11" t="s">
        <v>50</v>
      </c>
      <c r="E8" s="28">
        <v>10.5</v>
      </c>
      <c r="F8" s="29">
        <f t="shared" si="0"/>
        <v>0.6</v>
      </c>
      <c r="G8" s="25">
        <v>3.75</v>
      </c>
      <c r="H8" s="30">
        <f t="shared" si="1"/>
        <v>6.25</v>
      </c>
      <c r="I8" s="31" t="b">
        <v>0</v>
      </c>
      <c r="J8" s="32" t="s">
        <v>0</v>
      </c>
      <c r="K8" s="32" t="b">
        <v>0</v>
      </c>
    </row>
    <row r="9" spans="1:11">
      <c r="A9" s="25">
        <f t="shared" si="2"/>
        <v>8</v>
      </c>
      <c r="B9" s="26" t="s">
        <v>73</v>
      </c>
      <c r="C9" s="27">
        <v>2.5</v>
      </c>
      <c r="D9" s="11" t="s">
        <v>50</v>
      </c>
      <c r="E9" s="28">
        <v>10.5</v>
      </c>
      <c r="F9" s="29">
        <f t="shared" si="0"/>
        <v>0.6</v>
      </c>
      <c r="G9" s="25">
        <v>3.75</v>
      </c>
      <c r="H9" s="30">
        <f t="shared" si="1"/>
        <v>6.25</v>
      </c>
      <c r="I9" s="31" t="b">
        <v>0</v>
      </c>
      <c r="J9" s="32" t="b">
        <v>0</v>
      </c>
      <c r="K9" s="32" t="b">
        <v>0</v>
      </c>
    </row>
    <row r="10" spans="1:11">
      <c r="A10" s="25">
        <f t="shared" si="2"/>
        <v>9</v>
      </c>
      <c r="B10" s="26" t="s">
        <v>74</v>
      </c>
      <c r="C10" s="27">
        <v>1.75</v>
      </c>
      <c r="D10" s="11" t="s">
        <v>50</v>
      </c>
      <c r="E10" s="28">
        <v>8.25</v>
      </c>
      <c r="F10" s="29">
        <f t="shared" si="0"/>
        <v>0.58823529411764708</v>
      </c>
      <c r="G10" s="25">
        <v>2.5</v>
      </c>
      <c r="H10" s="30">
        <f t="shared" si="1"/>
        <v>4.25</v>
      </c>
      <c r="I10" s="31" t="b">
        <v>0</v>
      </c>
      <c r="J10" s="32" t="b">
        <v>0</v>
      </c>
      <c r="K10" s="32" t="b">
        <v>0</v>
      </c>
    </row>
    <row r="11" spans="1:11">
      <c r="A11" s="25">
        <f t="shared" si="2"/>
        <v>10</v>
      </c>
      <c r="B11" s="26" t="s">
        <v>75</v>
      </c>
      <c r="C11" s="27">
        <v>2</v>
      </c>
      <c r="D11" s="11" t="s">
        <v>50</v>
      </c>
      <c r="E11" s="28">
        <v>12</v>
      </c>
      <c r="F11" s="29">
        <f t="shared" si="0"/>
        <v>0.55555555555555558</v>
      </c>
      <c r="G11" s="25">
        <v>2.5</v>
      </c>
      <c r="H11" s="30">
        <f t="shared" si="1"/>
        <v>4.5</v>
      </c>
      <c r="I11" s="31" t="b">
        <v>0</v>
      </c>
      <c r="J11" s="32" t="s">
        <v>76</v>
      </c>
      <c r="K11" s="32" t="b">
        <v>0</v>
      </c>
    </row>
    <row r="12" spans="1:11">
      <c r="A12" s="25">
        <f t="shared" si="2"/>
        <v>11</v>
      </c>
      <c r="B12" s="26" t="s">
        <v>77</v>
      </c>
      <c r="C12" s="27">
        <v>1</v>
      </c>
      <c r="D12" s="11" t="s">
        <v>50</v>
      </c>
      <c r="E12" s="28" t="s">
        <v>50</v>
      </c>
      <c r="F12" s="29">
        <f t="shared" si="0"/>
        <v>0.6</v>
      </c>
      <c r="G12" s="25">
        <v>1.5</v>
      </c>
      <c r="H12" s="30">
        <f t="shared" si="1"/>
        <v>2.5</v>
      </c>
      <c r="I12" s="31" t="b">
        <v>0</v>
      </c>
      <c r="J12" s="32" t="b">
        <v>0</v>
      </c>
      <c r="K12" s="32" t="b">
        <v>0</v>
      </c>
    </row>
    <row r="13" spans="1:11">
      <c r="A13" s="25">
        <f t="shared" si="2"/>
        <v>12</v>
      </c>
      <c r="B13" s="26" t="s">
        <v>78</v>
      </c>
      <c r="C13" s="27">
        <v>1</v>
      </c>
      <c r="D13" s="11" t="s">
        <v>50</v>
      </c>
      <c r="E13" s="28" t="s">
        <v>50</v>
      </c>
      <c r="F13" s="29">
        <f t="shared" si="0"/>
        <v>0.6</v>
      </c>
      <c r="G13" s="25">
        <v>1.5</v>
      </c>
      <c r="H13" s="30">
        <f t="shared" si="1"/>
        <v>2.5</v>
      </c>
      <c r="I13" s="31" t="b">
        <v>0</v>
      </c>
      <c r="J13" s="32" t="b">
        <v>0</v>
      </c>
      <c r="K13" s="32" t="b">
        <v>0</v>
      </c>
    </row>
    <row r="14" spans="1:11" ht="15" thickBot="1">
      <c r="A14" s="8">
        <f t="shared" si="2"/>
        <v>13</v>
      </c>
      <c r="B14" s="33" t="s">
        <v>79</v>
      </c>
      <c r="C14" s="34">
        <v>0.5</v>
      </c>
      <c r="D14" s="35" t="s">
        <v>50</v>
      </c>
      <c r="E14" s="12" t="s">
        <v>50</v>
      </c>
      <c r="F14" s="13">
        <f t="shared" si="0"/>
        <v>0.5</v>
      </c>
      <c r="G14" s="8">
        <v>0.5</v>
      </c>
      <c r="H14" s="36">
        <f t="shared" si="1"/>
        <v>1</v>
      </c>
      <c r="I14" s="16" t="b">
        <v>0</v>
      </c>
      <c r="J14" s="17" t="b">
        <v>0</v>
      </c>
      <c r="K14" s="17" t="b">
        <v>0</v>
      </c>
    </row>
    <row r="15" spans="1:11" ht="15" thickBot="1">
      <c r="A15" s="37">
        <f t="shared" si="2"/>
        <v>14</v>
      </c>
      <c r="B15" s="38" t="s">
        <v>80</v>
      </c>
      <c r="C15" s="39" t="s">
        <v>10</v>
      </c>
      <c r="D15" s="35" t="s">
        <v>50</v>
      </c>
      <c r="E15" s="35" t="s">
        <v>50</v>
      </c>
      <c r="F15" s="40" t="str">
        <f t="shared" si="0"/>
        <v/>
      </c>
      <c r="G15" s="37"/>
      <c r="H15" s="41" t="str">
        <f t="shared" si="1"/>
        <v/>
      </c>
      <c r="I15" s="42" t="b">
        <v>1</v>
      </c>
      <c r="J15" s="43" t="b">
        <v>0</v>
      </c>
      <c r="K15" s="43" t="b">
        <v>0</v>
      </c>
    </row>
    <row r="16" spans="1:11" ht="15" thickBot="1">
      <c r="A16" s="37">
        <f t="shared" si="2"/>
        <v>15</v>
      </c>
      <c r="B16" s="26" t="s">
        <v>100</v>
      </c>
      <c r="C16" s="39">
        <v>1</v>
      </c>
      <c r="D16" s="44">
        <v>2.5</v>
      </c>
      <c r="E16" s="35">
        <v>15</v>
      </c>
      <c r="F16" s="40">
        <f t="shared" si="0"/>
        <v>0.5</v>
      </c>
      <c r="G16" s="37">
        <v>1</v>
      </c>
      <c r="H16" s="41">
        <f t="shared" si="1"/>
        <v>2</v>
      </c>
      <c r="I16" s="42" t="b">
        <v>0</v>
      </c>
      <c r="J16" s="43" t="b">
        <v>0</v>
      </c>
      <c r="K16" s="32" t="s">
        <v>0</v>
      </c>
    </row>
    <row r="17" spans="1:11">
      <c r="A17" s="18">
        <f t="shared" si="2"/>
        <v>16</v>
      </c>
      <c r="B17" s="26" t="s">
        <v>101</v>
      </c>
      <c r="C17" s="20">
        <v>1</v>
      </c>
      <c r="D17" s="11">
        <v>2</v>
      </c>
      <c r="E17" s="11">
        <v>15</v>
      </c>
      <c r="F17" s="21">
        <f t="shared" si="0"/>
        <v>0.8</v>
      </c>
      <c r="G17" s="18">
        <v>4</v>
      </c>
      <c r="H17" s="22">
        <f t="shared" si="1"/>
        <v>5</v>
      </c>
      <c r="I17" s="23" t="b">
        <v>0</v>
      </c>
      <c r="J17" s="24" t="b">
        <v>0</v>
      </c>
      <c r="K17" s="24" t="b">
        <v>0</v>
      </c>
    </row>
    <row r="18" spans="1:11">
      <c r="A18" s="25">
        <f t="shared" si="2"/>
        <v>17</v>
      </c>
      <c r="B18" s="26" t="s">
        <v>102</v>
      </c>
      <c r="C18" s="27">
        <v>1</v>
      </c>
      <c r="D18" s="28">
        <v>2</v>
      </c>
      <c r="E18" s="28">
        <v>14</v>
      </c>
      <c r="F18" s="29">
        <f t="shared" si="0"/>
        <v>0.66666666666666663</v>
      </c>
      <c r="G18" s="25">
        <v>2</v>
      </c>
      <c r="H18" s="30">
        <f t="shared" si="1"/>
        <v>3</v>
      </c>
      <c r="I18" s="31" t="b">
        <v>0</v>
      </c>
      <c r="J18" s="32" t="b">
        <v>0</v>
      </c>
      <c r="K18" s="32" t="b">
        <v>0</v>
      </c>
    </row>
    <row r="19" spans="1:11">
      <c r="A19" s="25">
        <f t="shared" si="2"/>
        <v>18</v>
      </c>
      <c r="B19" s="26" t="s">
        <v>103</v>
      </c>
      <c r="C19" s="27">
        <v>1.5</v>
      </c>
      <c r="D19" s="11">
        <v>1.5</v>
      </c>
      <c r="E19" s="28">
        <v>12</v>
      </c>
      <c r="F19" s="29">
        <f t="shared" si="0"/>
        <v>0.5</v>
      </c>
      <c r="G19" s="25">
        <v>1.5</v>
      </c>
      <c r="H19" s="30">
        <f t="shared" si="1"/>
        <v>3</v>
      </c>
      <c r="I19" s="31" t="b">
        <v>0</v>
      </c>
      <c r="J19" s="32" t="b">
        <v>0</v>
      </c>
      <c r="K19" s="32" t="b">
        <v>0</v>
      </c>
    </row>
    <row r="20" spans="1:11">
      <c r="A20" s="25">
        <f t="shared" si="2"/>
        <v>19</v>
      </c>
      <c r="B20" s="26" t="s">
        <v>104</v>
      </c>
      <c r="C20" s="27">
        <v>3</v>
      </c>
      <c r="D20" s="11">
        <v>1.5</v>
      </c>
      <c r="E20" s="28">
        <v>12</v>
      </c>
      <c r="F20" s="29">
        <f t="shared" si="0"/>
        <v>0.4</v>
      </c>
      <c r="G20" s="25">
        <v>2</v>
      </c>
      <c r="H20" s="30">
        <f t="shared" si="1"/>
        <v>5</v>
      </c>
      <c r="I20" s="31" t="b">
        <v>0</v>
      </c>
      <c r="J20" s="32" t="b">
        <v>0</v>
      </c>
      <c r="K20" s="32" t="b">
        <v>0</v>
      </c>
    </row>
    <row r="21" spans="1:11">
      <c r="A21" s="25">
        <f t="shared" si="2"/>
        <v>20</v>
      </c>
      <c r="B21" s="26" t="s">
        <v>105</v>
      </c>
      <c r="C21" s="27">
        <v>3</v>
      </c>
      <c r="D21" s="11">
        <v>1.5</v>
      </c>
      <c r="E21" s="28">
        <v>12</v>
      </c>
      <c r="F21" s="29">
        <f t="shared" si="0"/>
        <v>0.625</v>
      </c>
      <c r="G21" s="25">
        <v>5</v>
      </c>
      <c r="H21" s="30">
        <f t="shared" si="1"/>
        <v>8</v>
      </c>
      <c r="I21" s="31" t="b">
        <v>0</v>
      </c>
      <c r="J21" s="32" t="b">
        <v>0</v>
      </c>
      <c r="K21" s="32" t="b">
        <v>0</v>
      </c>
    </row>
    <row r="22" spans="1:11">
      <c r="A22" s="25">
        <f t="shared" si="2"/>
        <v>21</v>
      </c>
      <c r="B22" s="26" t="s">
        <v>106</v>
      </c>
      <c r="C22" s="27">
        <v>1.5</v>
      </c>
      <c r="D22" s="11">
        <v>1.5</v>
      </c>
      <c r="E22" s="28">
        <v>11</v>
      </c>
      <c r="F22" s="29">
        <f t="shared" si="0"/>
        <v>0.4</v>
      </c>
      <c r="G22" s="25">
        <v>1</v>
      </c>
      <c r="H22" s="30">
        <f t="shared" si="1"/>
        <v>2.5</v>
      </c>
      <c r="I22" s="31" t="b">
        <v>0</v>
      </c>
      <c r="J22" s="32" t="b">
        <v>0</v>
      </c>
      <c r="K22" s="32" t="b">
        <v>0</v>
      </c>
    </row>
    <row r="23" spans="1:11">
      <c r="A23" s="25">
        <f t="shared" si="2"/>
        <v>22</v>
      </c>
      <c r="B23" s="26" t="s">
        <v>107</v>
      </c>
      <c r="C23" s="27">
        <v>2</v>
      </c>
      <c r="D23" s="11">
        <v>1.25</v>
      </c>
      <c r="E23" s="28">
        <v>10</v>
      </c>
      <c r="F23" s="29">
        <f t="shared" si="0"/>
        <v>0.33333333333333331</v>
      </c>
      <c r="G23" s="25">
        <v>1</v>
      </c>
      <c r="H23" s="30">
        <f t="shared" si="1"/>
        <v>3</v>
      </c>
      <c r="I23" s="31" t="b">
        <v>0</v>
      </c>
      <c r="J23" s="32" t="b">
        <v>0</v>
      </c>
      <c r="K23" s="32" t="b">
        <v>0</v>
      </c>
    </row>
    <row r="24" spans="1:11">
      <c r="A24" s="25">
        <f t="shared" si="2"/>
        <v>23</v>
      </c>
      <c r="B24" s="26" t="s">
        <v>108</v>
      </c>
      <c r="C24" s="27">
        <v>1</v>
      </c>
      <c r="D24" s="11">
        <v>1.5</v>
      </c>
      <c r="E24" s="28">
        <v>11</v>
      </c>
      <c r="F24" s="29">
        <f t="shared" si="0"/>
        <v>0.8</v>
      </c>
      <c r="G24" s="25">
        <v>4</v>
      </c>
      <c r="H24" s="30">
        <f t="shared" si="1"/>
        <v>5</v>
      </c>
      <c r="I24" s="31" t="b">
        <v>0</v>
      </c>
      <c r="J24" s="32" t="b">
        <v>0</v>
      </c>
      <c r="K24" s="32" t="b">
        <v>0</v>
      </c>
    </row>
    <row r="25" spans="1:11">
      <c r="A25" s="25">
        <f t="shared" si="2"/>
        <v>24</v>
      </c>
      <c r="B25" s="26" t="s">
        <v>109</v>
      </c>
      <c r="C25" s="27">
        <v>2</v>
      </c>
      <c r="D25" s="11">
        <v>1.5</v>
      </c>
      <c r="E25" s="28">
        <v>10</v>
      </c>
      <c r="F25" s="29">
        <f t="shared" si="0"/>
        <v>0.33333333333333331</v>
      </c>
      <c r="G25" s="25">
        <v>1</v>
      </c>
      <c r="H25" s="30">
        <f t="shared" si="1"/>
        <v>3</v>
      </c>
      <c r="I25" s="31" t="b">
        <v>0</v>
      </c>
      <c r="J25" s="32" t="b">
        <v>0</v>
      </c>
      <c r="K25" s="32" t="b">
        <v>0</v>
      </c>
    </row>
    <row r="26" spans="1:11">
      <c r="A26" s="25">
        <f t="shared" si="2"/>
        <v>25</v>
      </c>
      <c r="B26" s="26" t="s">
        <v>110</v>
      </c>
      <c r="C26" s="27">
        <v>4</v>
      </c>
      <c r="D26" s="11">
        <v>1.25</v>
      </c>
      <c r="E26" s="28">
        <v>10</v>
      </c>
      <c r="F26" s="29">
        <f t="shared" si="0"/>
        <v>0.2</v>
      </c>
      <c r="G26" s="25">
        <v>1</v>
      </c>
      <c r="H26" s="30">
        <f t="shared" si="1"/>
        <v>5</v>
      </c>
      <c r="I26" s="31" t="b">
        <v>0</v>
      </c>
      <c r="J26" s="32" t="b">
        <v>0</v>
      </c>
      <c r="K26" s="32" t="b">
        <v>0</v>
      </c>
    </row>
    <row r="27" spans="1:11">
      <c r="A27" s="25">
        <f t="shared" si="2"/>
        <v>26</v>
      </c>
      <c r="B27" s="26" t="s">
        <v>111</v>
      </c>
      <c r="C27" s="27">
        <v>4</v>
      </c>
      <c r="D27" s="11">
        <v>1.25</v>
      </c>
      <c r="E27" s="28">
        <v>10</v>
      </c>
      <c r="F27" s="29">
        <f t="shared" si="0"/>
        <v>0.4838709677419355</v>
      </c>
      <c r="G27" s="25">
        <v>3.75</v>
      </c>
      <c r="H27" s="30">
        <f t="shared" si="1"/>
        <v>7.75</v>
      </c>
      <c r="I27" s="31" t="b">
        <v>0</v>
      </c>
      <c r="J27" s="32" t="b">
        <v>0</v>
      </c>
      <c r="K27" s="32" t="b">
        <v>0</v>
      </c>
    </row>
    <row r="28" spans="1:11">
      <c r="A28" s="25">
        <f t="shared" si="2"/>
        <v>27</v>
      </c>
      <c r="B28" s="26" t="s">
        <v>112</v>
      </c>
      <c r="C28" s="27">
        <v>2</v>
      </c>
      <c r="D28" s="11">
        <v>2</v>
      </c>
      <c r="E28" s="28">
        <v>15</v>
      </c>
      <c r="F28" s="29">
        <f t="shared" si="0"/>
        <v>0.65217391304347827</v>
      </c>
      <c r="G28" s="25">
        <v>3.75</v>
      </c>
      <c r="H28" s="30">
        <f t="shared" si="1"/>
        <v>5.75</v>
      </c>
      <c r="I28" s="31" t="b">
        <v>0</v>
      </c>
      <c r="J28" s="32" t="b">
        <v>0</v>
      </c>
      <c r="K28" s="32" t="b">
        <v>0</v>
      </c>
    </row>
    <row r="29" spans="1:11">
      <c r="A29" s="25">
        <f t="shared" si="2"/>
        <v>28</v>
      </c>
      <c r="B29" s="26" t="s">
        <v>113</v>
      </c>
      <c r="C29" s="27">
        <v>2</v>
      </c>
      <c r="D29" s="11">
        <v>2.5</v>
      </c>
      <c r="E29" s="28">
        <v>18</v>
      </c>
      <c r="F29" s="29">
        <f t="shared" si="0"/>
        <v>0.65217391304347827</v>
      </c>
      <c r="G29" s="25">
        <v>3.75</v>
      </c>
      <c r="H29" s="30">
        <f t="shared" si="1"/>
        <v>5.75</v>
      </c>
      <c r="I29" s="31" t="b">
        <v>0</v>
      </c>
      <c r="J29" s="32" t="b">
        <v>0</v>
      </c>
      <c r="K29" s="32" t="b">
        <v>0</v>
      </c>
    </row>
    <row r="30" spans="1:11">
      <c r="A30" s="25">
        <f t="shared" si="2"/>
        <v>29</v>
      </c>
      <c r="B30" s="26" t="s">
        <v>114</v>
      </c>
      <c r="C30" s="27">
        <v>3</v>
      </c>
      <c r="D30" s="11">
        <v>3</v>
      </c>
      <c r="E30" s="46">
        <v>18</v>
      </c>
      <c r="F30" s="29">
        <f t="shared" si="0"/>
        <v>0.5</v>
      </c>
      <c r="G30" s="25">
        <v>3</v>
      </c>
      <c r="H30" s="30">
        <f t="shared" si="1"/>
        <v>6</v>
      </c>
      <c r="I30" s="31" t="b">
        <v>0</v>
      </c>
      <c r="J30" s="32" t="b">
        <v>0</v>
      </c>
      <c r="K30" s="32" t="s">
        <v>76</v>
      </c>
    </row>
  </sheetData>
  <conditionalFormatting sqref="I1:K30">
    <cfRule type="expression" dxfId="0" priority="1">
      <formula>I1 &lt;&gt; FALSE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8ABF9A39F4E48ADF8A96B66476F5D" ma:contentTypeVersion="14" ma:contentTypeDescription="Create a new document." ma:contentTypeScope="" ma:versionID="93de2859373ba7228437315dfabaf2d3">
  <xsd:schema xmlns:xsd="http://www.w3.org/2001/XMLSchema" xmlns:xs="http://www.w3.org/2001/XMLSchema" xmlns:p="http://schemas.microsoft.com/office/2006/metadata/properties" xmlns:ns2="a52a87ec-ce06-4a46-ac90-8191594adba5" xmlns:ns3="da33cc24-0e2a-4239-89af-d2fec3b2c49c" targetNamespace="http://schemas.microsoft.com/office/2006/metadata/properties" ma:root="true" ma:fieldsID="10702117a05abcb06f2d823b09c7f736" ns2:_="" ns3:_="">
    <xsd:import namespace="a52a87ec-ce06-4a46-ac90-8191594adba5"/>
    <xsd:import namespace="da33cc24-0e2a-4239-89af-d2fec3b2c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a87ec-ce06-4a46-ac90-8191594ad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3a9b28e-ce9f-42ea-892f-7f2cbfb8f1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3cc24-0e2a-4239-89af-d2fec3b2c4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57d2ae1-5ed2-4c1d-aac1-94d1debdb6f7}" ma:internalName="TaxCatchAll" ma:showField="CatchAllData" ma:web="da33cc24-0e2a-4239-89af-d2fec3b2c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a87ec-ce06-4a46-ac90-8191594adba5">
      <Terms xmlns="http://schemas.microsoft.com/office/infopath/2007/PartnerControls"/>
    </lcf76f155ced4ddcb4097134ff3c332f>
    <TaxCatchAll xmlns="da33cc24-0e2a-4239-89af-d2fec3b2c49c" xsi:nil="true"/>
  </documentManagement>
</p:properties>
</file>

<file path=customXml/itemProps1.xml><?xml version="1.0" encoding="utf-8"?>
<ds:datastoreItem xmlns:ds="http://schemas.openxmlformats.org/officeDocument/2006/customXml" ds:itemID="{53AC1766-A039-451E-A3FB-B56AFE1227A1}"/>
</file>

<file path=customXml/itemProps2.xml><?xml version="1.0" encoding="utf-8"?>
<ds:datastoreItem xmlns:ds="http://schemas.openxmlformats.org/officeDocument/2006/customXml" ds:itemID="{EF41AD94-7986-4823-A702-D78EF72B24DE}"/>
</file>

<file path=customXml/itemProps3.xml><?xml version="1.0" encoding="utf-8"?>
<ds:datastoreItem xmlns:ds="http://schemas.openxmlformats.org/officeDocument/2006/customXml" ds:itemID="{8ACDC4F9-0B33-4F2B-8820-723597976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Stian Giæver</dc:creator>
  <cp:keywords/>
  <dc:description/>
  <cp:lastModifiedBy>Inge Moy</cp:lastModifiedBy>
  <cp:revision/>
  <dcterms:created xsi:type="dcterms:W3CDTF">2026-04-09T06:12:29Z</dcterms:created>
  <dcterms:modified xsi:type="dcterms:W3CDTF">2026-05-20T12:34:57Z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0x0101001358ABF9A39F4E48ADF8A96B66476F5D</vt:lpwstr>
  </property>
  <property fmtid="{D5CDD505-2E9C-101B-9397-08002B2CF9AE}" pid="3" name="MediaServiceImageTags">
    <vt:lpwstr/>
  </property>
</Properties>
</file>